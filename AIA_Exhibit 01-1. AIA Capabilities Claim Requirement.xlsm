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01" codeName="{21656B06-1B9B-AA78-C99D-37B55691406E}"/>
  <workbookPr codeName="ThisWorkbook"/>
  <mc:AlternateContent xmlns:mc="http://schemas.openxmlformats.org/markup-compatibility/2006">
    <mc:Choice Requires="x15">
      <x15ac:absPath xmlns:x15ac="http://schemas.microsoft.com/office/spreadsheetml/2010/11/ac" url="Z:\RFP-GO-Claims Platform\RFP Document\"/>
    </mc:Choice>
  </mc:AlternateContent>
  <bookViews>
    <workbookView xWindow="0" yWindow="0" windowWidth="20496" windowHeight="7152" tabRatio="915" activeTab="2"/>
  </bookViews>
  <sheets>
    <sheet name="Glossary" sheetId="53" r:id="rId1"/>
    <sheet name="A. Claims Story Map" sheetId="38" r:id="rId2"/>
    <sheet name="Summary" sheetId="51" r:id="rId3"/>
    <sheet name="A1. HLBR - Provider Mgmt" sheetId="50" r:id="rId4"/>
    <sheet name="B1. HLBR - Claims Submission" sheetId="1" r:id="rId5"/>
    <sheet name="B2. HLBR - Registration" sheetId="8" r:id="rId6"/>
    <sheet name="B3. HLBR - Assessment" sheetId="43" r:id="rId7"/>
    <sheet name="B4. HLBR - Settlement" sheetId="45" r:id="rId8"/>
    <sheet name="B5. HLBR - Fraud" sheetId="47" r:id="rId9"/>
    <sheet name="B6. HLBR - Recovery" sheetId="48" r:id="rId10"/>
    <sheet name="B7. HLBR - General" sheetId="49" r:id="rId11"/>
    <sheet name="Summary BackUp" sheetId="52" r:id="rId12"/>
  </sheets>
  <externalReferences>
    <externalReference r:id="rId13"/>
    <externalReference r:id="rId14"/>
  </externalReferences>
  <definedNames>
    <definedName name="_xlnm._FilterDatabase" localSheetId="1" hidden="1">'A. Claims Story Map'!$C$10:$AH$10</definedName>
    <definedName name="_xlnm._FilterDatabase" localSheetId="3" hidden="1">'A1. HLBR - Provider Mgmt'!$A$2:$L$35</definedName>
    <definedName name="_xlnm._FilterDatabase" localSheetId="4" hidden="1">'B1. HLBR - Claims Submission'!$A$3:$L$22</definedName>
    <definedName name="_xlnm._FilterDatabase" localSheetId="5" hidden="1">'B2. HLBR - Registration'!$A$3:$L$15</definedName>
    <definedName name="_xlnm._FilterDatabase" localSheetId="6" hidden="1">'B3. HLBR - Assessment'!$A$3:$L$5</definedName>
    <definedName name="_xlnm._FilterDatabase" localSheetId="7" hidden="1">'B4. HLBR - Settlement'!$A$3:$L$19</definedName>
    <definedName name="_xlnm._FilterDatabase" localSheetId="8" hidden="1">'B5. HLBR - Fraud'!$A$3:$L$11</definedName>
    <definedName name="_xlnm._FilterDatabase" localSheetId="9" hidden="1">'B6. HLBR - Recovery'!$A$3:$L$9</definedName>
    <definedName name="_xlnm._FilterDatabase" localSheetId="10" hidden="1">'B7. HLBR - General'!$A$1:$K$29</definedName>
    <definedName name="A__Product_Scope" localSheetId="3">#REF!</definedName>
    <definedName name="A__Product_Scope" localSheetId="6">#REF!</definedName>
    <definedName name="A__Product_Scope" localSheetId="7">#REF!</definedName>
    <definedName name="A__Product_Scope" localSheetId="8">#REF!</definedName>
    <definedName name="A__Product_Scope" localSheetId="9">#REF!</definedName>
    <definedName name="A__Product_Scope">#REF!</definedName>
    <definedName name="Activity_Feature_Mapping">[1]Activity_Features!$B$2:$F$447</definedName>
    <definedName name="ActivityCount">[1]Goal_Activities!$A$2:$A$64</definedName>
    <definedName name="B__Document_Navigation" localSheetId="3">#REF!</definedName>
    <definedName name="B__Document_Navigation" localSheetId="6">#REF!</definedName>
    <definedName name="B__Document_Navigation" localSheetId="7">#REF!</definedName>
    <definedName name="B__Document_Navigation" localSheetId="8">#REF!</definedName>
    <definedName name="B__Document_Navigation" localSheetId="9">#REF!</definedName>
    <definedName name="B__Document_Navigation">#REF!</definedName>
    <definedName name="C__Document_Description" localSheetId="3">#REF!</definedName>
    <definedName name="C__Document_Description" localSheetId="6">#REF!</definedName>
    <definedName name="C__Document_Description" localSheetId="7">#REF!</definedName>
    <definedName name="C__Document_Description" localSheetId="8">#REF!</definedName>
    <definedName name="C__Document_Description" localSheetId="9">#REF!</definedName>
    <definedName name="C__Document_Description">#REF!</definedName>
    <definedName name="Catastrophe_Identification" localSheetId="3">'A1. HLBR - Provider Mgmt'!#REF!</definedName>
    <definedName name="Catastrophe_Identification" localSheetId="4">'B1. HLBR - Claims Submission'!#REF!</definedName>
    <definedName name="Claims_Assignment" localSheetId="5">'B2. HLBR - Registration'!$C$14</definedName>
    <definedName name="Claims_Data_Capture" localSheetId="3">'A1. HLBR - Provider Mgmt'!$C$4</definedName>
    <definedName name="Claims_Data_Capture" localSheetId="4">'B1. HLBR - Claims Submission'!$C$4</definedName>
    <definedName name="Claims_History" localSheetId="3">'A1. HLBR - Provider Mgmt'!#REF!</definedName>
    <definedName name="Claims_History" localSheetId="4">'B1. HLBR - Claims Submission'!#REF!</definedName>
    <definedName name="Claims_Information" localSheetId="3">'A1. HLBR - Provider Mgmt'!#REF!</definedName>
    <definedName name="Claims_Information" localSheetId="4">'B1. HLBR - Claims Submission'!#REF!</definedName>
    <definedName name="Claims_Re_assignment" localSheetId="5">#REF!</definedName>
    <definedName name="Claims_Re_assignment" localSheetId="6">'B3. HLBR - Assessment'!#REF!</definedName>
    <definedName name="Claims_Re_assignment" localSheetId="7">'B4. HLBR - Settlement'!#REF!</definedName>
    <definedName name="Claims_Registration" localSheetId="5">'B2. HLBR - Registration'!$C$4</definedName>
    <definedName name="Claims_Registration___4">'A. Claims Story Map'!$I$11</definedName>
    <definedName name="Claims_segmentation" localSheetId="5">'B2. HLBR - Registration'!$C$13</definedName>
    <definedName name="Claims_Status_Update" localSheetId="6">'B3. HLBR - Assessment'!#REF!</definedName>
    <definedName name="Claims_Status_Update" localSheetId="7">'B4. HLBR - Settlement'!#REF!</definedName>
    <definedName name="Coinsurance_reinsurance_notification" localSheetId="5">'B2. HLBR - Registration'!$C$12</definedName>
    <definedName name="Com_Damage_Assess" localSheetId="6">'B3. HLBR - Assessment'!#REF!</definedName>
    <definedName name="Com_Damage_Assess" localSheetId="7">'B4. HLBR - Settlement'!#REF!</definedName>
    <definedName name="Com_Data_Capture" localSheetId="3">'A1. HLBR - Provider Mgmt'!#REF!</definedName>
    <definedName name="Com_Data_Capture" localSheetId="4">'B1. HLBR - Claims Submission'!#REF!</definedName>
    <definedName name="Com_Notification" localSheetId="3">'A1. HLBR - Provider Mgmt'!#REF!</definedName>
    <definedName name="Com_Notification" localSheetId="4">'B1. HLBR - Claims Submission'!#REF!</definedName>
    <definedName name="COM_SS" localSheetId="3">#REF!</definedName>
    <definedName name="COM_SS" localSheetId="6">'[2]B0. HLRQ - General'!#REF!</definedName>
    <definedName name="COM_SS" localSheetId="7">'[2]B0. HLRQ - General'!#REF!</definedName>
    <definedName name="COM_SS" localSheetId="8">'[2]B0. HLRQ - General'!#REF!</definedName>
    <definedName name="COM_SS" localSheetId="9">'[2]B0. HLRQ - General'!#REF!</definedName>
    <definedName name="COM_SS">#REF!</definedName>
    <definedName name="Com_Vendor_Assign" localSheetId="3">#REF!</definedName>
    <definedName name="Com_Vendor_Assign" localSheetId="6">'B3. HLBR - Assessment'!#REF!</definedName>
    <definedName name="Com_Vendor_Assign" localSheetId="7">'B4. HLBR - Settlement'!#REF!</definedName>
    <definedName name="Com_Vendor_Assign" localSheetId="9">#REF!</definedName>
    <definedName name="Com_Vendor_Assign">#REF!</definedName>
    <definedName name="Coverage_Validation" localSheetId="3">'A1. HLBR - Provider Mgmt'!#REF!</definedName>
    <definedName name="Coverage_Validation" localSheetId="4">'B1. HLBR - Claims Submission'!#REF!</definedName>
    <definedName name="D__Comments" localSheetId="3">#REF!</definedName>
    <definedName name="D__Comments" localSheetId="6">#REF!</definedName>
    <definedName name="D__Comments" localSheetId="7">#REF!</definedName>
    <definedName name="D__Comments" localSheetId="8">#REF!</definedName>
    <definedName name="D__Comments" localSheetId="9">#REF!</definedName>
    <definedName name="D__Comments">#REF!</definedName>
    <definedName name="Damage_Assessment" localSheetId="6">'B3. HLBR - Assessment'!#REF!</definedName>
    <definedName name="Damage_Assessment" localSheetId="7">'B4. HLBR - Settlement'!#REF!</definedName>
    <definedName name="F_Fraud_Detection" localSheetId="1">#REF!</definedName>
    <definedName name="FeatureCount">[1]Activity_Features!$A$2:$A$447</definedName>
    <definedName name="Fraud_detection" localSheetId="5">'B2. HLBR - Registration'!$C$9</definedName>
    <definedName name="Fraud_Detection" localSheetId="8">'[2]B0. HLRQ - General'!$C$61</definedName>
    <definedName name="Fraud_Detection" localSheetId="9">'[2]B0. HLRQ - General'!$C$61</definedName>
    <definedName name="Fraud_Investigation" localSheetId="8">'B5. HLBR - Fraud'!$C$7</definedName>
    <definedName name="Fraud_Investigation" localSheetId="9">'B6. HLBR - Recovery'!#REF!</definedName>
    <definedName name="Goal_Activity_Mapping">[1]Goal_Activities!$B$2:$D$64</definedName>
    <definedName name="Initial_Notification" localSheetId="3">'A1. HLBR - Provider Mgmt'!$C$23</definedName>
    <definedName name="Initial_Notification" localSheetId="4">'B2. HLBR - Registration'!$C$19</definedName>
    <definedName name="Initial_reserves_calculations" localSheetId="5">'B2. HLBR - Registration'!$C$8</definedName>
    <definedName name="Litigation" localSheetId="6">'B3. HLBR - Assessment'!#REF!</definedName>
    <definedName name="Litigation" localSheetId="7">'B4. HLBR - Settlement'!#REF!</definedName>
    <definedName name="LS_Claims_Data_Capture" localSheetId="3">'A1. HLBR - Provider Mgmt'!#REF!</definedName>
    <definedName name="LS_Claims_Data_Capture" localSheetId="4">'B1. HLBR - Claims Submission'!#REF!</definedName>
    <definedName name="LS_Damage_Assess" localSheetId="6">'B3. HLBR - Assessment'!#REF!</definedName>
    <definedName name="LS_Damage_Assess" localSheetId="7">'B4. HLBR - Settlement'!#REF!</definedName>
    <definedName name="LS_Initial_Notification" localSheetId="3">'A1. HLBR - Provider Mgmt'!#REF!</definedName>
    <definedName name="LS_Initial_Notification" localSheetId="4">'B1. HLBR - Claims Submission'!#REF!</definedName>
    <definedName name="LS_Service_Status" localSheetId="3">#REF!</definedName>
    <definedName name="LS_Service_Status" localSheetId="6">'[2]B0. HLRQ - General'!#REF!</definedName>
    <definedName name="LS_Service_Status" localSheetId="7">'[2]B0. HLRQ - General'!#REF!</definedName>
    <definedName name="LS_Service_Status" localSheetId="8">'[2]B0. HLRQ - General'!#REF!</definedName>
    <definedName name="LS_Service_Status" localSheetId="9">'[2]B0. HLRQ - General'!#REF!</definedName>
    <definedName name="LS_Service_Status">#REF!</definedName>
    <definedName name="LS_Vendor_Assign" localSheetId="6">'B3. HLBR - Assessment'!#REF!</definedName>
    <definedName name="LS_Vendor_Assign" localSheetId="7">'B4. HLBR - Settlement'!#REF!</definedName>
    <definedName name="M_Vendor_Assign" localSheetId="6">'B3. HLBR - Assessment'!#REF!</definedName>
    <definedName name="M_Vendor_Assign" localSheetId="7">'B4. HLBR - Settlement'!#REF!</definedName>
    <definedName name="Motor_Claims_Data_Capture" localSheetId="3">'A1. HLBR - Provider Mgmt'!$C$4</definedName>
    <definedName name="Motor_Claims_Data_Capture" localSheetId="4">'B1. HLBR - Claims Submission'!$C$4</definedName>
    <definedName name="Motor_Damage_Assess" localSheetId="6">'B3. HLBR - Assessment'!#REF!</definedName>
    <definedName name="Motor_Damage_Assess" localSheetId="7">'B4. HLBR - Settlement'!#REF!</definedName>
    <definedName name="Motor_Initial_Notification" localSheetId="3">'A1. HLBR - Provider Mgmt'!$C$24</definedName>
    <definedName name="Motor_Initial_Notification" localSheetId="4">'B2. HLBR - Registration'!$C$20</definedName>
    <definedName name="Policy_Information" localSheetId="3">'A1. HLBR - Provider Mgmt'!#REF!</definedName>
    <definedName name="Policy_Information" localSheetId="4">'B1. HLBR - Claims Submission'!#REF!</definedName>
    <definedName name="_xlnm.Print_Titles" localSheetId="3">'A1. HLBR - Provider Mgmt'!$1:$3</definedName>
    <definedName name="_xlnm.Print_Titles" localSheetId="4">'B1. HLBR - Claims Submission'!$1:$3</definedName>
    <definedName name="_xlnm.Print_Titles" localSheetId="5">'B2. HLBR - Registration'!$1:$3</definedName>
    <definedName name="_xlnm.Print_Titles" localSheetId="6">'B3. HLBR - Assessment'!$1:$3</definedName>
    <definedName name="_xlnm.Print_Titles" localSheetId="7">'B4. HLBR - Settlement'!$1:$3</definedName>
    <definedName name="_xlnm.Print_Titles" localSheetId="8">'B5. HLBR - Fraud'!$1:$3</definedName>
    <definedName name="_xlnm.Print_Titles" localSheetId="9">'B6. HLBR - Recovery'!$1:$3</definedName>
    <definedName name="Recovery_Identification" localSheetId="5">'B2. HLBR - Registration'!$C$11</definedName>
    <definedName name="Reserve_Managemnet" localSheetId="6">'B3. HLBR - Assessment'!#REF!</definedName>
    <definedName name="Reserve_Managemnet" localSheetId="7">'B4. HLBR - Settlement'!#REF!</definedName>
    <definedName name="Service_activation" localSheetId="3">'A1. HLBR - Provider Mgmt'!#REF!</definedName>
    <definedName name="Service_activation" localSheetId="4">'B1. HLBR - Claims Submission'!#REF!</definedName>
    <definedName name="Vendor_assignment" localSheetId="3">'A1. HLBR - Provider Mgmt'!$C$22</definedName>
    <definedName name="Vendor_assignment" localSheetId="4">'B1. HLBR - Claims Submission'!$C$22</definedName>
    <definedName name="Vendor_assignment" localSheetId="5">#REF!</definedName>
    <definedName name="Vendor_assignment" localSheetId="6">'B3. HLBR - Assessment'!#REF!</definedName>
    <definedName name="Vendor_assignment" localSheetId="7">'B4. HLBR - Settlement'!#REF!</definedName>
    <definedName name="Workplan" localSheetId="5">#REF!</definedName>
    <definedName name="Workplan" localSheetId="6">'B3. HLBR - Assessment'!#REF!</definedName>
    <definedName name="Workplan" localSheetId="7">'B4. HLBR - Settlement'!#REF!</definedName>
  </definedNames>
  <calcPr calcId="171027"/>
</workbook>
</file>

<file path=xl/calcChain.xml><?xml version="1.0" encoding="utf-8"?>
<calcChain xmlns="http://schemas.openxmlformats.org/spreadsheetml/2006/main">
  <c r="E41" i="49" l="1"/>
  <c r="E40" i="49"/>
  <c r="E39" i="49"/>
  <c r="E38" i="49"/>
  <c r="E37" i="49"/>
  <c r="E36" i="49"/>
  <c r="E35" i="49"/>
  <c r="E34" i="49"/>
  <c r="E33" i="49"/>
  <c r="E32" i="49"/>
  <c r="E31" i="49"/>
  <c r="E30" i="49"/>
  <c r="E29" i="49"/>
  <c r="E28" i="49"/>
  <c r="E27" i="49"/>
  <c r="E26" i="49"/>
  <c r="E25" i="49"/>
  <c r="E24" i="49"/>
  <c r="E23" i="49"/>
  <c r="E22" i="49"/>
  <c r="E21" i="49"/>
  <c r="E20" i="49"/>
  <c r="E19" i="49"/>
  <c r="E18" i="49"/>
  <c r="E17" i="49"/>
  <c r="E16" i="49"/>
  <c r="E15" i="49"/>
  <c r="E14" i="49"/>
  <c r="E13" i="49"/>
  <c r="E12" i="49"/>
  <c r="E11" i="49"/>
  <c r="E10" i="49"/>
  <c r="E9" i="49"/>
  <c r="E8" i="49"/>
  <c r="E7" i="49"/>
  <c r="E6" i="49"/>
  <c r="E5" i="49"/>
  <c r="E4" i="49"/>
  <c r="E9" i="48"/>
  <c r="E8" i="48"/>
  <c r="E7" i="48"/>
  <c r="E6" i="48"/>
  <c r="E5" i="48"/>
  <c r="E4" i="48"/>
  <c r="E12" i="47"/>
  <c r="E11" i="47"/>
  <c r="E10" i="47"/>
  <c r="E9" i="47"/>
  <c r="E8" i="47"/>
  <c r="E7" i="47"/>
  <c r="E6" i="47"/>
  <c r="E5" i="47"/>
  <c r="E4" i="47"/>
  <c r="E20" i="45"/>
  <c r="E19" i="45"/>
  <c r="E18" i="45"/>
  <c r="E17" i="45"/>
  <c r="E16" i="45"/>
  <c r="E15" i="45"/>
  <c r="E14" i="45"/>
  <c r="E13" i="45"/>
  <c r="E12" i="45"/>
  <c r="E11" i="45"/>
  <c r="E10" i="45"/>
  <c r="E9" i="45"/>
  <c r="E8" i="45"/>
  <c r="E7" i="45"/>
  <c r="E6" i="45"/>
  <c r="E5" i="45"/>
  <c r="E4" i="45"/>
  <c r="E46" i="43"/>
  <c r="E45" i="43"/>
  <c r="E44" i="43"/>
  <c r="E43" i="43"/>
  <c r="E42" i="43"/>
  <c r="E41" i="43"/>
  <c r="E40" i="43"/>
  <c r="E39" i="43"/>
  <c r="E38" i="43"/>
  <c r="E37" i="43"/>
  <c r="E36" i="43"/>
  <c r="E35" i="43"/>
  <c r="E34" i="43"/>
  <c r="E33" i="43"/>
  <c r="E32" i="43"/>
  <c r="E31" i="43"/>
  <c r="E30" i="43"/>
  <c r="E29" i="43"/>
  <c r="E28" i="43"/>
  <c r="E27" i="43"/>
  <c r="E26" i="43"/>
  <c r="E25" i="43"/>
  <c r="E24" i="43"/>
  <c r="E23" i="43"/>
  <c r="E22" i="43"/>
  <c r="E21" i="43"/>
  <c r="E20" i="43"/>
  <c r="E19" i="43"/>
  <c r="E18" i="43"/>
  <c r="E17" i="43"/>
  <c r="E16" i="43"/>
  <c r="E15" i="43"/>
  <c r="E14" i="43"/>
  <c r="E13" i="43"/>
  <c r="E12" i="43"/>
  <c r="E11" i="43"/>
  <c r="E10" i="43"/>
  <c r="E9" i="43"/>
  <c r="E8" i="43"/>
  <c r="E7" i="43"/>
  <c r="E6" i="43"/>
  <c r="E5" i="43"/>
  <c r="E4" i="43"/>
  <c r="E21" i="8"/>
  <c r="E20" i="8"/>
  <c r="E19" i="8"/>
  <c r="E18" i="8"/>
  <c r="E17" i="8"/>
  <c r="E16" i="8"/>
  <c r="E15" i="8"/>
  <c r="E14" i="8"/>
  <c r="E13" i="8"/>
  <c r="E12" i="8"/>
  <c r="E11" i="8"/>
  <c r="E10" i="8"/>
  <c r="E9" i="8"/>
  <c r="E8" i="8"/>
  <c r="E7" i="8"/>
  <c r="E6" i="8"/>
  <c r="E5" i="8"/>
  <c r="E4" i="8"/>
  <c r="E26" i="1"/>
  <c r="E25" i="1"/>
  <c r="E24" i="1"/>
  <c r="E23" i="1"/>
  <c r="E22" i="1"/>
  <c r="E21" i="1"/>
  <c r="E20" i="1"/>
  <c r="E19" i="1"/>
  <c r="E18" i="1"/>
  <c r="E17" i="1"/>
  <c r="E16" i="1"/>
  <c r="E15" i="1"/>
  <c r="E14" i="1"/>
  <c r="E13" i="1"/>
  <c r="E12" i="1"/>
  <c r="E11" i="1"/>
  <c r="E10" i="1"/>
  <c r="E9" i="1"/>
  <c r="E8" i="1"/>
  <c r="E7" i="1"/>
  <c r="E6" i="1"/>
  <c r="E5" i="1"/>
  <c r="E4" i="1"/>
  <c r="E35" i="50"/>
  <c r="E34" i="50"/>
  <c r="E33" i="50"/>
  <c r="E32" i="50"/>
  <c r="E31" i="50"/>
  <c r="E30" i="50"/>
  <c r="E29" i="50"/>
  <c r="E28" i="50"/>
  <c r="E27" i="50"/>
  <c r="E26" i="50"/>
  <c r="E25" i="50"/>
  <c r="E24" i="50"/>
  <c r="E23" i="50"/>
  <c r="E22" i="50"/>
  <c r="E21" i="50"/>
  <c r="E20" i="50"/>
  <c r="E19" i="50"/>
  <c r="E18" i="50"/>
  <c r="E17" i="50"/>
  <c r="E16" i="50"/>
  <c r="E15" i="50"/>
  <c r="E14" i="50"/>
  <c r="E13" i="50"/>
  <c r="E12" i="50"/>
  <c r="E11" i="50"/>
  <c r="E10" i="50"/>
  <c r="E9" i="50"/>
  <c r="E8" i="50"/>
  <c r="E7" i="50"/>
  <c r="E6" i="50"/>
  <c r="E5" i="50"/>
  <c r="E4" i="50"/>
  <c r="AI22" i="38"/>
  <c r="U22" i="38"/>
  <c r="Q22" i="38"/>
  <c r="O22" i="38"/>
  <c r="M22" i="38"/>
  <c r="I22" i="38"/>
  <c r="E22" i="38"/>
  <c r="C22" i="38"/>
  <c r="V22" i="38" s="1"/>
  <c r="AJ22" i="38" s="1"/>
  <c r="M21" i="38"/>
  <c r="M20" i="38"/>
  <c r="M19" i="38"/>
  <c r="M18" i="38"/>
  <c r="I18" i="38"/>
  <c r="Y17" i="38"/>
  <c r="M17" i="38"/>
  <c r="I17" i="38"/>
  <c r="AC16" i="38"/>
  <c r="Y16" i="38"/>
  <c r="U16" i="38"/>
  <c r="O16" i="38"/>
  <c r="M16" i="38"/>
  <c r="I16" i="38"/>
  <c r="E16" i="38"/>
  <c r="C16" i="38"/>
  <c r="AC15" i="38"/>
  <c r="Y15" i="38"/>
  <c r="U15" i="38"/>
  <c r="O15" i="38"/>
  <c r="M15" i="38"/>
  <c r="I15" i="38"/>
  <c r="E15" i="38"/>
  <c r="C15" i="38"/>
  <c r="AC14" i="38"/>
  <c r="Y14" i="38"/>
  <c r="X14" i="38"/>
  <c r="U14" i="38"/>
  <c r="O14" i="38"/>
  <c r="M14" i="38"/>
  <c r="I14" i="38"/>
  <c r="E14" i="38"/>
  <c r="C14" i="38"/>
  <c r="AD13" i="38"/>
  <c r="AC13" i="38"/>
  <c r="Y13" i="38"/>
  <c r="X13" i="38"/>
  <c r="U13" i="38"/>
  <c r="Q13" i="38"/>
  <c r="O13" i="38"/>
  <c r="M13" i="38"/>
  <c r="I13" i="38"/>
  <c r="E13" i="38"/>
  <c r="C13" i="38"/>
  <c r="AE12" i="38"/>
  <c r="AD12" i="38"/>
  <c r="AC12" i="38"/>
  <c r="Z12" i="38"/>
  <c r="Y12" i="38"/>
  <c r="X12" i="38"/>
  <c r="U12" i="38"/>
  <c r="Q12" i="38"/>
  <c r="O12" i="38"/>
  <c r="M12" i="38"/>
  <c r="I12" i="38"/>
  <c r="E12" i="38"/>
  <c r="C12" i="38"/>
  <c r="AH11" i="38"/>
  <c r="AE11" i="38"/>
  <c r="AD11" i="38"/>
  <c r="AC11" i="38"/>
  <c r="AB11" i="38"/>
  <c r="AA11" i="38"/>
  <c r="Z11" i="38"/>
  <c r="Y11" i="38"/>
  <c r="X11" i="38"/>
  <c r="U11" i="38"/>
  <c r="Q11" i="38"/>
  <c r="O11" i="38"/>
  <c r="M11" i="38"/>
  <c r="I11" i="38"/>
  <c r="E11" i="38"/>
  <c r="C11" i="38"/>
</calcChain>
</file>

<file path=xl/comments1.xml><?xml version="1.0" encoding="utf-8"?>
<comments xmlns="http://schemas.openxmlformats.org/spreadsheetml/2006/main">
  <authors>
    <author>Kevin Pak Kei Tay</author>
  </authors>
  <commentList>
    <comment ref="H1" authorId="0" shapeId="0">
      <text>
        <r>
          <rPr>
            <sz val="9"/>
            <color indexed="81"/>
            <rFont val="Tahoma"/>
            <family val="2"/>
          </rPr>
          <t>Manual: No business rules
Semi-Auto: Some business rules
Auto: All business rules</t>
        </r>
      </text>
    </comment>
    <comment ref="I1" authorId="0" shapeId="0">
      <text>
        <r>
          <rPr>
            <sz val="9"/>
            <color indexed="81"/>
            <rFont val="Tahoma"/>
            <family val="2"/>
          </rPr>
          <t>Manual: No business rules
Semi-Auto: Some business rules
Auto: All business rules</t>
        </r>
      </text>
    </comment>
  </commentList>
</comments>
</file>

<file path=xl/comments2.xml><?xml version="1.0" encoding="utf-8"?>
<comments xmlns="http://schemas.openxmlformats.org/spreadsheetml/2006/main">
  <authors>
    <author>Kevin Pak Kei Tay</author>
  </authors>
  <commentList>
    <comment ref="H2" authorId="0" shapeId="0">
      <text>
        <r>
          <rPr>
            <sz val="9"/>
            <color indexed="81"/>
            <rFont val="Tahoma"/>
            <family val="2"/>
          </rPr>
          <t>Manual: No business rules
Semi-Auto: Some business rules
Auto: All business rules</t>
        </r>
      </text>
    </comment>
    <comment ref="I2" authorId="0" shapeId="0">
      <text>
        <r>
          <rPr>
            <sz val="9"/>
            <color indexed="81"/>
            <rFont val="Tahoma"/>
            <family val="2"/>
          </rPr>
          <t>Manual: No business rules
Semi-Auto: Some business rules
Auto: All business rules</t>
        </r>
      </text>
    </comment>
  </commentList>
</comments>
</file>

<file path=xl/comments3.xml><?xml version="1.0" encoding="utf-8"?>
<comments xmlns="http://schemas.openxmlformats.org/spreadsheetml/2006/main">
  <authors>
    <author>Kevin Pak Kei Tay</author>
  </authors>
  <commentList>
    <comment ref="H2" authorId="0" shapeId="0">
      <text>
        <r>
          <rPr>
            <sz val="9"/>
            <color indexed="81"/>
            <rFont val="Tahoma"/>
            <family val="2"/>
          </rPr>
          <t>Manual: No business rules
Semi-Auto: Some business rules
Auto: All business rules</t>
        </r>
      </text>
    </comment>
    <comment ref="I2" authorId="0" shapeId="0">
      <text>
        <r>
          <rPr>
            <sz val="9"/>
            <color indexed="81"/>
            <rFont val="Tahoma"/>
            <family val="2"/>
          </rPr>
          <t>Manual: No business rules
Semi-Auto: Some business rules
Auto: All business rules</t>
        </r>
      </text>
    </comment>
  </commentList>
</comments>
</file>

<file path=xl/comments4.xml><?xml version="1.0" encoding="utf-8"?>
<comments xmlns="http://schemas.openxmlformats.org/spreadsheetml/2006/main">
  <authors>
    <author>Kevin Pak Kei Tay</author>
  </authors>
  <commentList>
    <comment ref="H2" authorId="0" shapeId="0">
      <text>
        <r>
          <rPr>
            <sz val="9"/>
            <color indexed="81"/>
            <rFont val="Tahoma"/>
            <family val="2"/>
          </rPr>
          <t>Manual: No business rules
Semi-Auto: Some business rules
Auto: All business rules</t>
        </r>
      </text>
    </comment>
    <comment ref="I2" authorId="0" shapeId="0">
      <text>
        <r>
          <rPr>
            <sz val="9"/>
            <color indexed="81"/>
            <rFont val="Tahoma"/>
            <family val="2"/>
          </rPr>
          <t>Manual: No business rules
Semi-Auto: Some business rules
Auto: All business rules</t>
        </r>
      </text>
    </comment>
  </commentList>
</comments>
</file>

<file path=xl/comments5.xml><?xml version="1.0" encoding="utf-8"?>
<comments xmlns="http://schemas.openxmlformats.org/spreadsheetml/2006/main">
  <authors>
    <author>Kevin Pak Kei Tay</author>
  </authors>
  <commentList>
    <comment ref="H2" authorId="0" shapeId="0">
      <text>
        <r>
          <rPr>
            <sz val="9"/>
            <color indexed="81"/>
            <rFont val="Tahoma"/>
            <family val="2"/>
          </rPr>
          <t>Manual: No business rules
Semi-Auto: Some business rules
Auto: All business rules</t>
        </r>
      </text>
    </comment>
    <comment ref="I2" authorId="0" shapeId="0">
      <text>
        <r>
          <rPr>
            <sz val="9"/>
            <color indexed="81"/>
            <rFont val="Tahoma"/>
            <family val="2"/>
          </rPr>
          <t>Manual: No business rules
Semi-Auto: Some business rules
Auto: All business rules</t>
        </r>
      </text>
    </comment>
  </commentList>
</comments>
</file>

<file path=xl/comments6.xml><?xml version="1.0" encoding="utf-8"?>
<comments xmlns="http://schemas.openxmlformats.org/spreadsheetml/2006/main">
  <authors>
    <author>Kevin Pak Kei Tay</author>
  </authors>
  <commentList>
    <comment ref="H2" authorId="0" shapeId="0">
      <text>
        <r>
          <rPr>
            <sz val="9"/>
            <color indexed="81"/>
            <rFont val="Tahoma"/>
            <family val="2"/>
          </rPr>
          <t>Manual: No business rules
Semi-Auto: Some business rules
Auto: All business rules</t>
        </r>
      </text>
    </comment>
    <comment ref="I2" authorId="0" shapeId="0">
      <text>
        <r>
          <rPr>
            <sz val="9"/>
            <color indexed="81"/>
            <rFont val="Tahoma"/>
            <family val="2"/>
          </rPr>
          <t>Manual: No business rules
Semi-Auto: Some business rules
Auto: All business rules</t>
        </r>
      </text>
    </comment>
  </commentList>
</comments>
</file>

<file path=xl/comments7.xml><?xml version="1.0" encoding="utf-8"?>
<comments xmlns="http://schemas.openxmlformats.org/spreadsheetml/2006/main">
  <authors>
    <author>Kevin Pak Kei Tay</author>
  </authors>
  <commentList>
    <comment ref="H2" authorId="0" shapeId="0">
      <text>
        <r>
          <rPr>
            <sz val="9"/>
            <color indexed="81"/>
            <rFont val="Tahoma"/>
            <family val="2"/>
          </rPr>
          <t>Manual: No business rules
Semi-Auto: Some business rules
Auto: All business rules</t>
        </r>
      </text>
    </comment>
    <comment ref="I2" authorId="0" shapeId="0">
      <text>
        <r>
          <rPr>
            <sz val="9"/>
            <color indexed="81"/>
            <rFont val="Tahoma"/>
            <family val="2"/>
          </rPr>
          <t>Manual: No business rules
Semi-Auto: Some business rules
Auto: All business rules</t>
        </r>
      </text>
    </comment>
  </commentList>
</comments>
</file>

<file path=xl/comments8.xml><?xml version="1.0" encoding="utf-8"?>
<comments xmlns="http://schemas.openxmlformats.org/spreadsheetml/2006/main">
  <authors>
    <author>Kevin Pak Kei Tay</author>
  </authors>
  <commentList>
    <comment ref="H2" authorId="0" shapeId="0">
      <text>
        <r>
          <rPr>
            <sz val="9"/>
            <color indexed="81"/>
            <rFont val="Tahoma"/>
            <family val="2"/>
          </rPr>
          <t>Manual: No business rules
Semi-Auto: Some business rules
Auto: All business rules</t>
        </r>
      </text>
    </comment>
    <comment ref="I2" authorId="0" shapeId="0">
      <text>
        <r>
          <rPr>
            <sz val="9"/>
            <color indexed="81"/>
            <rFont val="Tahoma"/>
            <family val="2"/>
          </rPr>
          <t>Manual: No business rules
Semi-Auto: Some business rules
Auto: All business rules</t>
        </r>
      </text>
    </comment>
  </commentList>
</comments>
</file>

<file path=xl/comments9.xml><?xml version="1.0" encoding="utf-8"?>
<comments xmlns="http://schemas.openxmlformats.org/spreadsheetml/2006/main">
  <authors>
    <author>Kevin Pak Kei Tay</author>
  </authors>
  <commentList>
    <comment ref="H2" authorId="0" shapeId="0">
      <text>
        <r>
          <rPr>
            <sz val="9"/>
            <color indexed="81"/>
            <rFont val="Tahoma"/>
            <family val="2"/>
          </rPr>
          <t>Manual: No business rules
Semi-Auto: Some business rules
Auto: All business rules</t>
        </r>
      </text>
    </comment>
    <comment ref="I2" authorId="0" shapeId="0">
      <text>
        <r>
          <rPr>
            <sz val="9"/>
            <color indexed="81"/>
            <rFont val="Tahoma"/>
            <family val="2"/>
          </rPr>
          <t>Manual: No business rules
Semi-Auto: Some business rules
Auto: All business rules</t>
        </r>
      </text>
    </comment>
  </commentList>
</comments>
</file>

<file path=xl/comments10.xml><?xml version="1.0" encoding="utf-8"?>
<comments xmlns="http://schemas.openxmlformats.org/spreadsheetml/2006/main">
  <authors>
    <author>Kevin Pak Kei Tay</author>
  </authors>
  <commentList>
    <comment ref="H1" authorId="0" shapeId="0">
      <text>
        <r>
          <rPr>
            <sz val="9"/>
            <color indexed="81"/>
            <rFont val="Tahoma"/>
            <family val="2"/>
          </rPr>
          <t>Manual: No business rules
Semi-Auto: Some business rules
Auto: All business rules</t>
        </r>
      </text>
    </comment>
    <comment ref="I1" authorId="0" shapeId="0">
      <text>
        <r>
          <rPr>
            <sz val="9"/>
            <color indexed="81"/>
            <rFont val="Tahoma"/>
            <family val="2"/>
          </rPr>
          <t>Manual: No business rules
Semi-Auto: Some business rules
Auto: All business rules</t>
        </r>
      </text>
    </comment>
  </commentList>
</comments>
</file>

<file path=xl/sharedStrings.xml><?xml version="1.0" encoding="utf-8"?>
<sst xmlns="http://schemas.openxmlformats.org/spreadsheetml/2006/main" count="3803" uniqueCount="827">
  <si>
    <t>BUSINESS AREA</t>
  </si>
  <si>
    <t>BUSINESS SUB-AREA</t>
  </si>
  <si>
    <t>Reopening</t>
  </si>
  <si>
    <t>Workflow</t>
  </si>
  <si>
    <t>Fraud detection</t>
  </si>
  <si>
    <t>Initial reserves calculations</t>
  </si>
  <si>
    <t>Claims segmentation</t>
  </si>
  <si>
    <t>Vendor assignment</t>
  </si>
  <si>
    <t>INVOLVED PARTIES</t>
  </si>
  <si>
    <t>HL RQ ID#</t>
  </si>
  <si>
    <t>HL Business Requirement</t>
  </si>
  <si>
    <t>NAME</t>
  </si>
  <si>
    <t>Registration</t>
  </si>
  <si>
    <t>Assessment</t>
  </si>
  <si>
    <t>Claims Data Capture</t>
  </si>
  <si>
    <t>N/A</t>
  </si>
  <si>
    <t>Settlement</t>
  </si>
  <si>
    <t>Claims Handler</t>
  </si>
  <si>
    <t>Recovery Management</t>
  </si>
  <si>
    <t>Claims Information</t>
  </si>
  <si>
    <t>Claims Assignment</t>
  </si>
  <si>
    <t>Claims Registration</t>
  </si>
  <si>
    <t>Eligibility Check</t>
  </si>
  <si>
    <t>LOB</t>
  </si>
  <si>
    <t>Customer Complaint</t>
  </si>
  <si>
    <t>Business Admin</t>
  </si>
  <si>
    <t>Complaint Management</t>
  </si>
  <si>
    <t>Claims Status</t>
  </si>
  <si>
    <t>Vendor Management</t>
  </si>
  <si>
    <t>Fraud Detection</t>
  </si>
  <si>
    <t>Reserving</t>
  </si>
  <si>
    <t>Service Status</t>
  </si>
  <si>
    <t>Dormant Management</t>
  </si>
  <si>
    <t>Claims Story Map</t>
  </si>
  <si>
    <t>Claims Segmentation</t>
  </si>
  <si>
    <t xml:space="preserve">Fraud </t>
  </si>
  <si>
    <t>Document Management</t>
  </si>
  <si>
    <t>Customer Feedbacks</t>
  </si>
  <si>
    <t>Fraud Management</t>
  </si>
  <si>
    <t>Business Rules Management</t>
  </si>
  <si>
    <t>Catastrophe Event Management</t>
  </si>
  <si>
    <t>Recovery</t>
  </si>
  <si>
    <t>Claims Performance and Reporting</t>
  </si>
  <si>
    <t>Claims Audit</t>
  </si>
  <si>
    <t>Instant Customer Feedback (ICF)</t>
  </si>
  <si>
    <t>Service Dispatch</t>
  </si>
  <si>
    <t>Team Reporting</t>
  </si>
  <si>
    <t>Department Reporting</t>
  </si>
  <si>
    <t>Regional Reporting</t>
  </si>
  <si>
    <t>Re-insurance / Co-insurance Reporting</t>
  </si>
  <si>
    <t>Claims Sampling for Closed File Review</t>
  </si>
  <si>
    <t>Catastrophe Identification</t>
  </si>
  <si>
    <t>Recovery Identification</t>
  </si>
  <si>
    <t>Back</t>
  </si>
  <si>
    <t>General</t>
  </si>
  <si>
    <t>Vendor Information</t>
  </si>
  <si>
    <t>AXA Vendor Portal</t>
  </si>
  <si>
    <t>Confirmation of Loss Notification</t>
  </si>
  <si>
    <t>Notification</t>
  </si>
  <si>
    <t>Trigger Activity</t>
  </si>
  <si>
    <t>Activity Pattern Setup</t>
  </si>
  <si>
    <t>Claims Status Rule</t>
  </si>
  <si>
    <t>Service Status Rule</t>
  </si>
  <si>
    <t>Vendor Assignment</t>
  </si>
  <si>
    <t>Service Activation</t>
  </si>
  <si>
    <t>Initial Reserves Calculations</t>
  </si>
  <si>
    <t>Coinsurance/Reinsurance Notification</t>
  </si>
  <si>
    <t>Close The Loop</t>
  </si>
  <si>
    <t>Claims Metrics</t>
  </si>
  <si>
    <t>Claims Dashboard</t>
  </si>
  <si>
    <t>Workload Monitoring</t>
  </si>
  <si>
    <t>Audit Trail</t>
  </si>
  <si>
    <t>Phase 1</t>
  </si>
  <si>
    <t>Phase 1: Manual
Phase 2 -3: Auto</t>
  </si>
  <si>
    <t>Phase 1: Semi-Auto
Phase 2 -3: Auto and Advanced</t>
  </si>
  <si>
    <t>Phase 1: Guidewire Fraud Rules
Phase 2 - 3: Specialized Fraud Tool</t>
  </si>
  <si>
    <t>Phase 1: Auto Basic Recovery Rules
Phase 2 - 3: Auto Adanved Recovery Rules</t>
  </si>
  <si>
    <t>Phase 1: Semi-Auto
Phase 2 - 3: Auto</t>
  </si>
  <si>
    <t>Phase 2 - 3</t>
  </si>
  <si>
    <t>Phase 1: Semi-Auto
Phase 2 - 3: Auto and Advanced</t>
  </si>
  <si>
    <t>Phase 1: Guidewire Rules
Phase 2 - 3: Specialize Fraud Tool</t>
  </si>
  <si>
    <t>Phase 1: Auto Basic
Phase 2 - 3: Auto Advanced</t>
  </si>
  <si>
    <t>Phase 2 - 3: Auto</t>
  </si>
  <si>
    <t>Phase 1: Manual
Phase 2 - 3: Auto</t>
  </si>
  <si>
    <t>INTEGRATION</t>
  </si>
  <si>
    <t>Recovery Team
Claims Handler</t>
  </si>
  <si>
    <t>Claims Handler/
Supervisor</t>
  </si>
  <si>
    <t>B. FNOL High Level Business Requirements</t>
  </si>
  <si>
    <t>B. Registration High Level Business Requirements</t>
  </si>
  <si>
    <t xml:space="preserve">Automatic </t>
  </si>
  <si>
    <t>Insured/Member
Provider 
Agents</t>
  </si>
  <si>
    <t>Manual</t>
  </si>
  <si>
    <t>Automatic/manual</t>
  </si>
  <si>
    <t>CS - IP/OP/Non Network</t>
  </si>
  <si>
    <t>Semi Automatic</t>
  </si>
  <si>
    <t>Policy Admin System</t>
  </si>
  <si>
    <t xml:space="preserve">
Claims Handler</t>
  </si>
  <si>
    <t xml:space="preserve">
Claims Handler
</t>
  </si>
  <si>
    <t xml:space="preserve">Insured
Agent
Claims Handler
</t>
  </si>
  <si>
    <t>Mobile app
Customer 
Email/Letter
SMS Gateway
AIA Vendor Portal</t>
  </si>
  <si>
    <t xml:space="preserve">
Claims Handler
Member
</t>
  </si>
  <si>
    <t xml:space="preserve">Claims Handler
</t>
  </si>
  <si>
    <t>General-All</t>
  </si>
  <si>
    <t xml:space="preserve">CS - IP/OP - China claims </t>
  </si>
  <si>
    <t>Fraud Management Team/Claims handler</t>
  </si>
  <si>
    <t>Claim Handler</t>
  </si>
  <si>
    <t>Reinsurance/coinsurance notification</t>
  </si>
  <si>
    <t>Provider Management</t>
  </si>
  <si>
    <t>B. Assessment High Level Business Requirements</t>
  </si>
  <si>
    <t>Reserves Management</t>
  </si>
  <si>
    <r>
      <t xml:space="preserve">
</t>
    </r>
    <r>
      <rPr>
        <sz val="8"/>
        <rFont val="Calibri"/>
        <family val="2"/>
      </rPr>
      <t xml:space="preserve"> Claims Handler</t>
    </r>
  </si>
  <si>
    <t>Claims Search</t>
  </si>
  <si>
    <t>Policy Search 
(incl. Service)</t>
  </si>
  <si>
    <t>Workplan / Activity Desktop</t>
  </si>
  <si>
    <t>Escalation</t>
  </si>
  <si>
    <t>Claims Re-assignment</t>
  </si>
  <si>
    <t>Risk Class Management</t>
  </si>
  <si>
    <t>Organizational Structure</t>
  </si>
  <si>
    <t>Roles and Permission</t>
  </si>
  <si>
    <t>User Profile</t>
  </si>
  <si>
    <t>Access Control</t>
  </si>
  <si>
    <t>Claims Archiving</t>
  </si>
  <si>
    <t>Holidays Setup</t>
  </si>
  <si>
    <t>Language Setup</t>
  </si>
  <si>
    <t>Currency Management</t>
  </si>
  <si>
    <t>Claims Documents</t>
  </si>
  <si>
    <t>Automatic</t>
  </si>
  <si>
    <t>Semi automatic</t>
  </si>
  <si>
    <r>
      <rPr>
        <b/>
        <sz val="8"/>
        <color rgb="FF000000"/>
        <rFont val="Calibri"/>
        <family val="2"/>
      </rPr>
      <t>Decline Letter:</t>
    </r>
    <r>
      <rPr>
        <sz val="8"/>
        <color rgb="FF000000"/>
        <rFont val="Calibri"/>
        <family val="2"/>
      </rPr>
      <t xml:space="preserve"> 'Ability to generate a pre-populated decline letter for claims handlers to review and update</t>
    </r>
  </si>
  <si>
    <t>B. Fraud High Level Business Requirements</t>
  </si>
  <si>
    <t>Fraud Investigation</t>
  </si>
  <si>
    <t>INTEGRATION NAME</t>
  </si>
  <si>
    <t>Integration name</t>
  </si>
  <si>
    <r>
      <rPr>
        <b/>
        <sz val="8"/>
        <color rgb="FF000000"/>
        <rFont val="Calibri"/>
        <family val="2"/>
      </rPr>
      <t>Fraud investigation:</t>
    </r>
    <r>
      <rPr>
        <sz val="8"/>
        <color rgb="FF000000"/>
        <rFont val="Calibri"/>
        <family val="2"/>
      </rPr>
      <t xml:space="preserve"> Ability to run fraud investigation and claims assessment concurrently such that claims will not be delayed due to investigations</t>
    </r>
  </si>
  <si>
    <t>Capture claims data</t>
  </si>
  <si>
    <t>Display claims data</t>
  </si>
  <si>
    <t>Correspondence</t>
  </si>
  <si>
    <t>Claims Assessment</t>
  </si>
  <si>
    <t>Claims document management</t>
  </si>
  <si>
    <t>Claims Decision</t>
  </si>
  <si>
    <t>Claims Payment</t>
  </si>
  <si>
    <t>Claims Closure</t>
  </si>
  <si>
    <t>Claims Reopen</t>
  </si>
  <si>
    <t>Settlement Reporting</t>
  </si>
  <si>
    <t>Claims Approval</t>
  </si>
  <si>
    <t>Recovery Reserve</t>
  </si>
  <si>
    <t>Recovery Doc Mgmt</t>
  </si>
  <si>
    <t>Recovery Investigation</t>
  </si>
  <si>
    <t>Recovery Opportunity</t>
  </si>
  <si>
    <t>Tracebility of capabilities</t>
  </si>
  <si>
    <t>Type of Capability</t>
  </si>
  <si>
    <t>HLBR_Set_0001</t>
  </si>
  <si>
    <t>HLBR_Set_0002</t>
  </si>
  <si>
    <t>HLBR_Set_0003</t>
  </si>
  <si>
    <t>HLBR_Set_0004</t>
  </si>
  <si>
    <t>HLBR_Set_0005</t>
  </si>
  <si>
    <t>HLBR_Set_0006</t>
  </si>
  <si>
    <t>HLBR_Set_0007</t>
  </si>
  <si>
    <t>HLBR_Set_0008</t>
  </si>
  <si>
    <t>HLBR_Set_0009</t>
  </si>
  <si>
    <t>HLBR_Set_0010</t>
  </si>
  <si>
    <t>HLBR_Set_0011</t>
  </si>
  <si>
    <t>HLBR_Set_0012</t>
  </si>
  <si>
    <t>HLBR_Set_0014</t>
  </si>
  <si>
    <t>HLBR_Set_0015</t>
  </si>
  <si>
    <t>HLBR_Set_0016</t>
  </si>
  <si>
    <t>HLBR_Set_0017</t>
  </si>
  <si>
    <t>HLBR_Fraud_0001</t>
  </si>
  <si>
    <t>HLBR_Fraud_0002</t>
  </si>
  <si>
    <t>HLBR_Fraud_0003</t>
  </si>
  <si>
    <t>HLBR_Fraud_0004</t>
  </si>
  <si>
    <t>HLBR_Fraud_0005</t>
  </si>
  <si>
    <t>HLBR_Fraud_0006</t>
  </si>
  <si>
    <t>HLBR_Fraud_0007</t>
  </si>
  <si>
    <t>HLBR_Fraud_0008</t>
  </si>
  <si>
    <t>HLBR_Recovery_0002</t>
  </si>
  <si>
    <t>HLBR_Recovery_0003</t>
  </si>
  <si>
    <t>HLBR_Recovery_0004</t>
  </si>
  <si>
    <t>HLBR_Recovery_0005</t>
  </si>
  <si>
    <t>HLBR_Recovery_0006</t>
  </si>
  <si>
    <t>HLBR_Recovery_0001</t>
  </si>
  <si>
    <t>HLBR_FNOL_01</t>
  </si>
  <si>
    <t>HLBR_FNOL_02</t>
  </si>
  <si>
    <t>HLBR_FNOL_03</t>
  </si>
  <si>
    <t>HLBR_FNOL_04</t>
  </si>
  <si>
    <t>HLBR_FNOL_05</t>
  </si>
  <si>
    <t>HLBR_FNOL_06</t>
  </si>
  <si>
    <t>HLBR_FNOL_07</t>
  </si>
  <si>
    <t>HLBR_FNOL_08</t>
  </si>
  <si>
    <t>HLBR_FNOL_09</t>
  </si>
  <si>
    <t>HLBR_FNOL_10</t>
  </si>
  <si>
    <t>HLBR_FNOL_11</t>
  </si>
  <si>
    <t>HLBR_FNOL_12</t>
  </si>
  <si>
    <t>HLBR_FNOL_13</t>
  </si>
  <si>
    <t>HLBR_FNOL_14</t>
  </si>
  <si>
    <t>HLBR_FNOL_15</t>
  </si>
  <si>
    <t>HLBR_FNOL_16</t>
  </si>
  <si>
    <t>HLBR_FNOL_17</t>
  </si>
  <si>
    <t>HLBR_FNOL_18</t>
  </si>
  <si>
    <t>HLBR_FNOL_19</t>
  </si>
  <si>
    <t>HLBR_Reg_0001</t>
  </si>
  <si>
    <t>HLBR_Reg_0002</t>
  </si>
  <si>
    <t>HLBR_Reg_0003</t>
  </si>
  <si>
    <t>HLBR_Reg_0004</t>
  </si>
  <si>
    <t>HLBR_Reg_0005</t>
  </si>
  <si>
    <t>HLBR_Reg_0006</t>
  </si>
  <si>
    <t>HLBR_Reg_0007</t>
  </si>
  <si>
    <t>HLBR_Reg_0008</t>
  </si>
  <si>
    <t>HLBR_Reg_0009</t>
  </si>
  <si>
    <t>HLBR_Reg_0010</t>
  </si>
  <si>
    <t>HLBR_Reg_0011</t>
  </si>
  <si>
    <t>HLBR_Reg_0012</t>
  </si>
  <si>
    <t>Pain Area</t>
  </si>
  <si>
    <t>Gap</t>
  </si>
  <si>
    <t>STP</t>
  </si>
  <si>
    <t>Observation</t>
  </si>
  <si>
    <t>Pain area</t>
  </si>
  <si>
    <t>Total</t>
  </si>
  <si>
    <t>B. General High Level Business Requirements</t>
  </si>
  <si>
    <t>User profile</t>
  </si>
  <si>
    <t>Authority limits</t>
  </si>
  <si>
    <t>Claims archiving</t>
  </si>
  <si>
    <t>Holidays setup</t>
  </si>
  <si>
    <t>Document management</t>
  </si>
  <si>
    <t>Claims documents</t>
  </si>
  <si>
    <t>Claims notes</t>
  </si>
  <si>
    <t>Trigger ICF</t>
  </si>
  <si>
    <t>Straight Through Processing</t>
  </si>
  <si>
    <t>Claims metrics</t>
  </si>
  <si>
    <t>Workload monitoring</t>
  </si>
  <si>
    <t>Audit trail</t>
  </si>
  <si>
    <r>
      <rPr>
        <b/>
        <sz val="8"/>
        <color rgb="FF000000"/>
        <rFont val="Calibri"/>
        <family val="2"/>
      </rPr>
      <t xml:space="preserve">Special Instructions for VIP clients before decline: </t>
    </r>
    <r>
      <rPr>
        <sz val="8"/>
        <color rgb="FF000000"/>
        <rFont val="Calibri"/>
        <family val="2"/>
      </rPr>
      <t>'Ability to alert the claims handler with "Special Instructions" (e.g. VIP) so that claims handlers and / or claims management are aware of its customer type before declining the claims and the right escalation process is followed according to the Customer status"</t>
    </r>
  </si>
  <si>
    <t>HLBR_Gen_0001</t>
  </si>
  <si>
    <t>HLBR_Gen_0002</t>
  </si>
  <si>
    <t>HLBR_Gen_0003</t>
  </si>
  <si>
    <t>HLBR_Gen_0004</t>
  </si>
  <si>
    <t>HLBR_Gen_0005</t>
  </si>
  <si>
    <t>HLBR_Gen_0008</t>
  </si>
  <si>
    <t>HLBR_Gen_0009</t>
  </si>
  <si>
    <t>HLBR_Gen_0010</t>
  </si>
  <si>
    <t>HLBR_Gen_0011</t>
  </si>
  <si>
    <t>HLBR_Gen_0015</t>
  </si>
  <si>
    <t>HLBR_Gen_0016</t>
  </si>
  <si>
    <t>HLBR_Gen_0017</t>
  </si>
  <si>
    <t>HLBR_Gen_0020</t>
  </si>
  <si>
    <t>HLBR_Gen_0021</t>
  </si>
  <si>
    <t>HLBR_Gen_0023</t>
  </si>
  <si>
    <t>HLBR_Gen_0025</t>
  </si>
  <si>
    <t>HLBR_Gen_0029</t>
  </si>
  <si>
    <t>HLBR_Gen_0030</t>
  </si>
  <si>
    <t>Claims Sampling for  File Review</t>
  </si>
  <si>
    <t>Claim Life Cycle</t>
  </si>
  <si>
    <t>IL, Compass, business rules</t>
  </si>
  <si>
    <t>Manual/ Automatic</t>
  </si>
  <si>
    <t>AS IS</t>
  </si>
  <si>
    <t>As IS</t>
  </si>
  <si>
    <t xml:space="preserve">Manual </t>
  </si>
  <si>
    <t>IL, Compass</t>
  </si>
  <si>
    <t>Claims System</t>
  </si>
  <si>
    <t>Rule engine</t>
  </si>
  <si>
    <t>PAS</t>
  </si>
  <si>
    <t>Claims System/PAS</t>
  </si>
  <si>
    <t>PAS/Claims System</t>
  </si>
  <si>
    <t>Claims system</t>
  </si>
  <si>
    <t>Business Rules</t>
  </si>
  <si>
    <t>PAS/Claims system</t>
  </si>
  <si>
    <t xml:space="preserve">IL, Compass, AIA internal access </t>
  </si>
  <si>
    <t>As Is</t>
  </si>
  <si>
    <t>Claims System
PAS</t>
  </si>
  <si>
    <t>PAS/ MIMO/ MCS/Claims System</t>
  </si>
  <si>
    <t>Claims System, Outlook</t>
  </si>
  <si>
    <t>Claims System, email, MIMO</t>
  </si>
  <si>
    <t>Claims System/
PAS</t>
  </si>
  <si>
    <t xml:space="preserve">Gap </t>
  </si>
  <si>
    <t xml:space="preserve">Claims system </t>
  </si>
  <si>
    <t>Claims system 
Document Management System,
PAS</t>
  </si>
  <si>
    <t>PAS, Claims system, Provider management Module</t>
  </si>
  <si>
    <t>Claims system 
PAS</t>
  </si>
  <si>
    <t>Claims system, OCR</t>
  </si>
  <si>
    <t>Claims system, PAS</t>
  </si>
  <si>
    <t>Claims handler</t>
  </si>
  <si>
    <t>Claims system
PAS</t>
  </si>
  <si>
    <t>Claims System
Document management system</t>
  </si>
  <si>
    <t xml:space="preserve">Claims System
External Claims system </t>
  </si>
  <si>
    <t>Claims Handler,
Fraud team</t>
  </si>
  <si>
    <t>Nil</t>
  </si>
  <si>
    <t xml:space="preserve">Automatic/Manual </t>
  </si>
  <si>
    <t>all Claims staff</t>
  </si>
  <si>
    <t>Claims Details</t>
  </si>
  <si>
    <t>pain area</t>
  </si>
  <si>
    <t xml:space="preserve">Claims system 
Web Portal
AIA My Page
Intranet </t>
  </si>
  <si>
    <t>Claims handler
Claim supervisor</t>
  </si>
  <si>
    <t>Claims Supervisor</t>
  </si>
  <si>
    <t>AIA Portal
I&amp;W
IWS
Document Management system</t>
  </si>
  <si>
    <t>HLBR_Reg_00013</t>
  </si>
  <si>
    <t>Policy Admin System
Claims system</t>
  </si>
  <si>
    <t>Yes</t>
  </si>
  <si>
    <t>HLBR_Reg_00014</t>
  </si>
  <si>
    <t>HLBR_Reg_00015</t>
  </si>
  <si>
    <t>Claims Litigation</t>
  </si>
  <si>
    <t>HK IL</t>
  </si>
  <si>
    <t>Business rules to be elaborated</t>
  </si>
  <si>
    <t>YES</t>
  </si>
  <si>
    <t>As IS - GCS TO Be</t>
  </si>
  <si>
    <t>Claim submision</t>
  </si>
  <si>
    <t>Document Submission/ Claim Submission</t>
  </si>
  <si>
    <t>Yes - Software AG to share the rules</t>
  </si>
  <si>
    <t>Yes - Software AG to provide the rules as starting point</t>
  </si>
  <si>
    <t>HLBR_FNOL_22</t>
  </si>
  <si>
    <t xml:space="preserve">Dow Jones Portal
OFAC 
JFIU 
PEP
Need to identify systems to be integrated </t>
  </si>
  <si>
    <t>HLBR_FNOL_23</t>
  </si>
  <si>
    <t>HLBR_Set_0020</t>
  </si>
  <si>
    <t>yes</t>
  </si>
  <si>
    <t>Yes- Sample table to provided by Audrey for TH</t>
  </si>
  <si>
    <r>
      <rPr>
        <b/>
        <sz val="8"/>
        <color rgb="FF000000"/>
        <rFont val="Calibri"/>
        <family val="2"/>
      </rPr>
      <t>Shortfall collection Management: (Network provider - cashless)</t>
    </r>
    <r>
      <rPr>
        <sz val="8"/>
        <color rgb="FF000000"/>
        <rFont val="Calibri"/>
        <family val="2"/>
      </rPr>
      <t xml:space="preserve">
System to automatically generate member shortfall as per the below example:
Presented amount --&gt; (Adjusted amount - co payment) - eligible amount = shortfall
Presented Amt     Adjusted amt         Co Pay              eligible                     Shortfall 
120                                     100                              20                       80                                0
120                                     100                              20                       60                                20     
150                                     120                              20                       60                                40                                              
</t>
    </r>
  </si>
  <si>
    <r>
      <rPr>
        <b/>
        <sz val="8"/>
        <color rgb="FF000000"/>
        <rFont val="Calibri"/>
        <family val="2"/>
      </rPr>
      <t xml:space="preserve">Hold Claims/ Payment Block: </t>
    </r>
    <r>
      <rPr>
        <sz val="8"/>
        <color rgb="FF000000"/>
        <rFont val="Calibri"/>
        <family val="2"/>
      </rPr>
      <t>'Ability for Fraud team to lock down the claim(locking payment ) from being settled before fraud investigations are completed</t>
    </r>
  </si>
  <si>
    <r>
      <rPr>
        <b/>
        <sz val="8"/>
        <color rgb="FF000000"/>
        <rFont val="Calibri"/>
        <family val="2"/>
        <scheme val="minor"/>
      </rPr>
      <t xml:space="preserve">Recovery  assignment &amp; Investigation: </t>
    </r>
    <r>
      <rPr>
        <sz val="8"/>
        <color rgb="FF000000"/>
        <rFont val="Calibri"/>
        <family val="2"/>
        <scheme val="minor"/>
      </rPr>
      <t xml:space="preserve">
Ability to run recovery management concurrently with assessment such that claims will not be delayed due to recovery process
System to have the capability to assign the case to recovery team (if required) which will allow concurrent recovery process along with assessment</t>
    </r>
  </si>
  <si>
    <r>
      <rPr>
        <b/>
        <sz val="8"/>
        <rFont val="Calibri"/>
        <family val="2"/>
        <scheme val="minor"/>
      </rPr>
      <t xml:space="preserve">Recovery Notification:
</t>
    </r>
    <r>
      <rPr>
        <sz val="8"/>
        <rFont val="Calibri"/>
        <family val="2"/>
        <scheme val="minor"/>
      </rPr>
      <t xml:space="preserve">'Ability to automatically generate a recovery report and reminder with the actual recovery and settlement amount and send to involved parties
1. Send notification to insured via letter or email 
2. Send notification to third party via letter
</t>
    </r>
  </si>
  <si>
    <r>
      <rPr>
        <b/>
        <sz val="8"/>
        <color theme="1"/>
        <rFont val="Calibri"/>
        <family val="2"/>
      </rPr>
      <t>Fraud Status:</t>
    </r>
    <r>
      <rPr>
        <sz val="8"/>
        <color theme="1"/>
        <rFont val="Calibri"/>
        <family val="2"/>
      </rPr>
      <t xml:space="preserve">
'Ability to view fraud activities  identified by system or claims handler after the claim has been tagged as potential fraud, this will enable fraud investigator to focus the investigation on key areas apart from normal investigation process</t>
    </r>
  </si>
  <si>
    <t>Business Rules required</t>
  </si>
  <si>
    <t>HLBR_PM_01</t>
  </si>
  <si>
    <t>HLBR_PM_02</t>
  </si>
  <si>
    <t>HLBR_PM_03</t>
  </si>
  <si>
    <t>HLBR_PM_04</t>
  </si>
  <si>
    <t>HLBR_PM_05</t>
  </si>
  <si>
    <t>HLBR_PM_06</t>
  </si>
  <si>
    <t>HLBR_PM_07</t>
  </si>
  <si>
    <t>HLBR_PM_08</t>
  </si>
  <si>
    <t>HLBR_PM_09</t>
  </si>
  <si>
    <t>HLBR_PM_10</t>
  </si>
  <si>
    <t>HLBR_PM_11</t>
  </si>
  <si>
    <t>HLBR_PM_12</t>
  </si>
  <si>
    <t>HLBR_PM_13</t>
  </si>
  <si>
    <t>HLBR_PM_14</t>
  </si>
  <si>
    <t>HLBR_PM_15</t>
  </si>
  <si>
    <t>HLBR_PM_16</t>
  </si>
  <si>
    <t>HLBR_PM_17</t>
  </si>
  <si>
    <t>HLBR_PM_18</t>
  </si>
  <si>
    <t>HLBR_PM_19</t>
  </si>
  <si>
    <t>HLBR_PM_20</t>
  </si>
  <si>
    <t>HLBR_PM_21</t>
  </si>
  <si>
    <t>HLBR_PM_22</t>
  </si>
  <si>
    <t>HLBR_PM_23</t>
  </si>
  <si>
    <r>
      <rPr>
        <b/>
        <sz val="8"/>
        <color rgb="FF000000"/>
        <rFont val="Calibri"/>
        <family val="2"/>
      </rPr>
      <t xml:space="preserve">Reassignment of cases: </t>
    </r>
    <r>
      <rPr>
        <sz val="8"/>
        <color rgb="FF000000"/>
        <rFont val="Calibri"/>
        <family val="2"/>
      </rPr>
      <t xml:space="preserve">
'System to have the capability to manually select the individual cases and re-assign to one or many  claims handlers or claims manager based on search criteria.
System to have the capability to bulk assign the cases basis the a particular user or group of users to different user/ groups.</t>
    </r>
  </si>
  <si>
    <r>
      <rPr>
        <b/>
        <sz val="8"/>
        <rFont val="Calibri"/>
        <family val="2"/>
        <scheme val="minor"/>
      </rPr>
      <t xml:space="preserve">Activity pattern: </t>
    </r>
    <r>
      <rPr>
        <sz val="8"/>
        <rFont val="Calibri"/>
        <family val="2"/>
        <scheme val="minor"/>
      </rPr>
      <t xml:space="preserve">
Ability to define activity pattern for each task with description, priority, due date, etc.
System to allow group admin team to add/edit /delete any of the activity pattern as per the need</t>
    </r>
  </si>
  <si>
    <r>
      <rPr>
        <b/>
        <sz val="8"/>
        <rFont val="Calibri"/>
        <family val="2"/>
        <scheme val="minor"/>
      </rPr>
      <t>Holiday Setup:</t>
    </r>
    <r>
      <rPr>
        <sz val="8"/>
        <rFont val="Calibri"/>
        <family val="2"/>
        <scheme val="minor"/>
      </rPr>
      <t xml:space="preserve"> 
'Ability to set up local, country and state holidays in claim system. 
System to consider holidays once set up in the system for any calculation of reminders, escalations, reporting, Payment cycle etc. 
System to allow users while defining activity patters or generating any report to indicate if working days or calendar days to be consider.
system to allow users to amend holiday calendar as per the need</t>
    </r>
  </si>
  <si>
    <t>Reporting</t>
  </si>
  <si>
    <t>Inactive claims Management</t>
  </si>
  <si>
    <t xml:space="preserve">Contract Management </t>
  </si>
  <si>
    <r>
      <rPr>
        <b/>
        <sz val="8"/>
        <rFont val="Calibri"/>
        <family val="2"/>
      </rPr>
      <t>Duplicate Claims (Program Reach):</t>
    </r>
    <r>
      <rPr>
        <sz val="8"/>
        <rFont val="Calibri"/>
        <family val="2"/>
      </rPr>
      <t xml:space="preserve"> 
'Ability to alert for potential duplicate claim during registration E.g.: Claimant Submitting receipts for same date of loss/ same amount/ Treatment date/Diagnosis date
Rules may vary from country to country.
</t>
    </r>
  </si>
  <si>
    <t>Manual/Automatic</t>
  </si>
  <si>
    <t>Traceability of capabilities</t>
  </si>
  <si>
    <r>
      <rPr>
        <b/>
        <sz val="8"/>
        <rFont val="Calibri"/>
        <family val="2"/>
      </rPr>
      <t>Provider Check:</t>
    </r>
    <r>
      <rPr>
        <sz val="8"/>
        <rFont val="Calibri"/>
        <family val="2"/>
      </rPr>
      <t xml:space="preserve">
System to perform 
1. Eligibility check on 'Network vs non network provider per member (eligibility per clinic)
2. 'Valid Doctor under network clinic
3. System to support the network management structure to enable the check.
Network management hierarchy will be leveraged from Software AG work already completed  
</t>
    </r>
  </si>
  <si>
    <r>
      <rPr>
        <b/>
        <sz val="8"/>
        <rFont val="Calibri"/>
        <family val="2"/>
      </rPr>
      <t xml:space="preserve">Policy Retrieval:
 </t>
    </r>
    <r>
      <rPr>
        <sz val="8"/>
        <rFont val="Calibri"/>
        <family val="2"/>
      </rPr>
      <t>'Ability to retrieve list of all policies (with details) issued to member based on unique identification ID and DOB combination (multiple CS/IL policies) for coordination of benefits etc. Policy retrieval to be performed basis per life check
Ex: 
Policy No./ Policy currency/ Insured name/owner name/ relationship/SI/DOB/Gender
Reinstatement history
Change in Basic sum insured
Change in basic plan
Addition/deletion of rider
Change of rider sum insured/ expiry of rider
Change of policy date/ Policy status
Policy currency/change in policy currency 
Conversion history/transfer history/transplant history etc.
Coverage details (policy details page)
Details of policy to be retrieved will be defined with SMEs</t>
    </r>
  </si>
  <si>
    <t>Claims System/ Document Management System/ MIMO etc.</t>
  </si>
  <si>
    <r>
      <t xml:space="preserve">NCB Check: 
</t>
    </r>
    <r>
      <rPr>
        <sz val="8"/>
        <rFont val="Calibri"/>
        <family val="2"/>
      </rPr>
      <t xml:space="preserve">System to flag in case the loss incurred date is within the NCB review period.
Details of NCB due date is to be retrieved from Policy Admin system and logic to be build in claims system to alert /flag the claims handler in case there is any NCB payment on the policy </t>
    </r>
  </si>
  <si>
    <r>
      <t xml:space="preserve">Bulk Upload of Fee Structure: 
</t>
    </r>
    <r>
      <rPr>
        <sz val="8"/>
        <rFont val="Calibri"/>
        <family val="2"/>
      </rPr>
      <t xml:space="preserve">System to have the capability to upload the predfined format of excel file (other MS office formats) with agreed fees with the provider to avoid line item manual entries in UI.
System to give hte flexibilty to manually enter the agreed fees to generate the agreed fee.
System to automatically generate the fee schedule once the file is upoaded successfully. 
System to support specific error message in case one or few component of the uploaded file are not successfully uploaded. </t>
    </r>
  </si>
  <si>
    <t>Automatic/Manual</t>
  </si>
  <si>
    <r>
      <t xml:space="preserve">Support R&amp;C in absence of Agreed fee:
</t>
    </r>
    <r>
      <rPr>
        <sz val="8"/>
        <rFont val="Calibri"/>
        <family val="2"/>
      </rPr>
      <t>PM Module to support the R&amp;C structure to cater for the such cases where there is no agreed fee with the provider any any particular treatment.
R&amp;C structure should support the below attributes but not limitied to:
- Procedure code
- Diagnosis Code
- Any potential Service code
-Type of room
- Place of Service
R&amp;C structure to support not only during issue of LOG/Credit Note. In absence of any agreed fee system to run the R&amp;C rules and should show the warning as (excess/within the range) for issuing hte LOG.
In case the LOG is issued beyond the R&amp;C for any specific reasn, system to support the workflow approval before the LOG is issued.</t>
    </r>
  </si>
  <si>
    <r>
      <t xml:space="preserve">Shortfall Management: 
</t>
    </r>
    <r>
      <rPr>
        <sz val="8"/>
        <rFont val="Calibri"/>
        <family val="2"/>
      </rPr>
      <t xml:space="preserve">PM Module to support the front end UI interface to perform basic policy level validation on short fall.
Provider while entering the claimiant/member information on the front end, PM module to be integrated with PAS to do the upfront validation of customer (eligibility) and also to check in case there is a shortfall and look for indicator for "Upfront shortfall collection"
System to also bring forward the actual Shortfall amount to be collected upfront by the provider once all the billing information is entered in the system. </t>
    </r>
  </si>
  <si>
    <r>
      <t xml:space="preserve">Communication to Customer on Upfront Shortfall: 
</t>
    </r>
    <r>
      <rPr>
        <sz val="8"/>
        <rFont val="Calibri"/>
        <family val="2"/>
      </rPr>
      <t>System to push the notification to the member/insured once the upfront shortfall is confirmed by the system to the provider to ensure that provider and memebr can be made aware of shortfall upfront
Push notification/communicatin to the member will be through the proferred channel shuch as AIA portal, email, SMS etc</t>
    </r>
  </si>
  <si>
    <r>
      <rPr>
        <b/>
        <sz val="8"/>
        <color theme="1"/>
        <rFont val="Calibri"/>
        <family val="2"/>
        <scheme val="minor"/>
      </rPr>
      <t>Network Confirmation</t>
    </r>
    <r>
      <rPr>
        <sz val="8"/>
        <color theme="1"/>
        <rFont val="Calibri"/>
        <family val="2"/>
        <scheme val="minor"/>
      </rPr>
      <t xml:space="preserve">: System to have the capability to upfront prompt the provider wheter the customer is eligible for cashless or not. 
UI for Provider/contact center to have mandatory fields, once entered the system to automatically prompt the cashless eligibility message. 
System to be integrated with PAS for eligibility check of member/ insured.  </t>
    </r>
  </si>
  <si>
    <t>HLBR_PM_24</t>
  </si>
  <si>
    <t>HLBR_PM_25</t>
  </si>
  <si>
    <t>HLBR_PM_26</t>
  </si>
  <si>
    <t>HLBR_PM_27</t>
  </si>
  <si>
    <r>
      <rPr>
        <b/>
        <sz val="8"/>
        <rFont val="Calibri"/>
        <family val="2"/>
      </rPr>
      <t>Network Modification:</t>
    </r>
    <r>
      <rPr>
        <sz val="8"/>
        <rFont val="Calibri"/>
        <family val="2"/>
      </rPr>
      <t xml:space="preserve"> 
'System to supoort any modification to any exisiting network, Location or doctor as per the request from the Client.
Some of functionalities includes but not restricted to:
1. Add doctor
2. Delete Doctor
3. Move/ Change location       
4. Termination etc
System to support automatic movement/modification  based on the predefind dates (effective and expiry) set up by the Provider Management team. System to support the batch run for these changes and should modify all the changes based on the dates entered in the system.                
*The doctor profile shall be reflected on the doctor list immediately when the doctor's status is active in the network </t>
    </r>
  </si>
  <si>
    <t>Provider Profile</t>
  </si>
  <si>
    <r>
      <rPr>
        <b/>
        <sz val="8"/>
        <rFont val="Calibri"/>
        <family val="2"/>
        <scheme val="minor"/>
      </rPr>
      <t xml:space="preserve">Provider recruitment and &amp; Provider Profile: </t>
    </r>
    <r>
      <rPr>
        <sz val="8"/>
        <rFont val="Calibri"/>
        <family val="2"/>
        <scheme val="minor"/>
      </rPr>
      <t xml:space="preserve">
Application for AIA preferred provider - provider may choose to submit application by
1) offline channel such as email, fax,call with email confirmation or 
2) online channel - Provider connectivity - eApplication submission allow provider to input data , submit supporting documents   &amp; submit online completed application to AIA.   
- Provider recruitment is an offline ongoing activities,  provider is either being invited to submit application or initiate the application process by ownself. Provider profile is created in PM module after the receipt of completed application.    eApplication alert provider for incompleteness of data and missing documents for mandatory data and mandatory documents. After provide submitted the completed eApplication, The data input by provider is  automatically create a provider profile record in Provider Management module. eApplication function allows provider to submit copy of documents such as CV, annual practicing certificate for accreditation.         
- Provider Profile details is updated manually in PM moduel by PM staffs if the provider submit application other than eApplication.         
- A job is allocated to PM team's work quene to review and follow up with provider for the application,  follow up action includes provider credentialing and contract negotiation etc.                                                                                                     
- Status tracking function to keep track of application status and performance of PM staff.   Status such as application received, review in progress, QA in progress, contract negotiation in progress, pending for information/document, approvded, decline.                                                                                                                      
- Provider is informed by eNotification about the status of application, the status could be approved, decline or pending for information, documents or further action.                                                                                                                               
- Provider details data upload is available for provider to perform batch upload of multiple provider details.         </t>
    </r>
  </si>
  <si>
    <r>
      <rPr>
        <b/>
        <sz val="8"/>
        <color theme="1"/>
        <rFont val="Calibri"/>
        <family val="2"/>
        <scheme val="minor"/>
      </rPr>
      <t xml:space="preserve">Update Provider Profile: </t>
    </r>
    <r>
      <rPr>
        <sz val="8"/>
        <color theme="1"/>
        <rFont val="Calibri"/>
        <family val="2"/>
        <scheme val="minor"/>
      </rPr>
      <t xml:space="preserve">
Provider may use eMovement to update the change on provider profile such as Clinic Hours, Clinic Address, Clinic Phone, Clinic Fax, etc.   *the update or change on details is governed by effective date.                                       
*Provider details data upload is available for provider to perform batch upload of multiple provider details.                                                                                        
*Provider Profile is updated manually under provider movement functions of PM module by PM staffs if the provider submit application other than eApplication.                                             .  </t>
    </r>
    <r>
      <rPr>
        <sz val="8"/>
        <color theme="1"/>
        <rFont val="Symbol"/>
        <family val="1"/>
        <charset val="2"/>
      </rPr>
      <t xml:space="preserve">                                                        </t>
    </r>
  </si>
  <si>
    <r>
      <rPr>
        <b/>
        <sz val="8"/>
        <color theme="1"/>
        <rFont val="Calibri"/>
        <family val="2"/>
        <scheme val="minor"/>
      </rPr>
      <t>Claims Submission: 
Online Submission:  P</t>
    </r>
    <r>
      <rPr>
        <sz val="8"/>
        <color theme="1"/>
        <rFont val="Calibri"/>
        <family val="2"/>
        <scheme val="minor"/>
      </rPr>
      <t xml:space="preserve">rovider may submit claims via provider portal, EDI data exchange or hard copy. For claims submission via provider portal,  Ability to automatcally capture member and provider's information for validation after the input of member's identification.   Allow provider to input mandatory claims data and upload required documentsder to submit claims. Initial eligiblity check such as sufficient mandatory information,  policy eligible check, network  validation and the acceptance of cashless for the service is required.   Provider portal is updated and shown initial eligiblity check result. 
</t>
    </r>
    <r>
      <rPr>
        <b/>
        <sz val="8"/>
        <color theme="1"/>
        <rFont val="Calibri"/>
        <family val="2"/>
        <scheme val="minor"/>
      </rPr>
      <t>EDI data exchange channel:</t>
    </r>
    <r>
      <rPr>
        <sz val="8"/>
        <color theme="1"/>
        <rFont val="Calibri"/>
        <family val="2"/>
        <scheme val="minor"/>
      </rPr>
      <t xml:space="preserve">  Provider is required to perform check initial eligibility check.  Provider portal is updated and shown initial eligiblity check result.  eNotification is sent to customer for the confirmation of eligiblity check.  Provider to upload &amp; submit EDI data file on pre-defined format to AIA.  Validation result is updated on data file and returned to provider for follow up.
</t>
    </r>
    <r>
      <rPr>
        <b/>
        <sz val="8"/>
        <color theme="1"/>
        <rFont val="Calibri"/>
        <family val="2"/>
        <scheme val="minor"/>
      </rPr>
      <t>HardCopy Submission:</t>
    </r>
    <r>
      <rPr>
        <sz val="8"/>
        <color theme="1"/>
        <rFont val="Calibri"/>
        <family val="2"/>
        <scheme val="minor"/>
      </rPr>
      <t xml:space="preserve"> Claim team to input claims data if the claim is submitted in hardcopy/copy of document.  Checking of original receipt is required for the release of payment if original receipt required is indicated in claims submission requirement. .    </t>
    </r>
  </si>
  <si>
    <r>
      <t xml:space="preserve">Support Auto Adjudication: 
</t>
    </r>
    <r>
      <rPr>
        <sz val="8"/>
        <rFont val="Calibri"/>
        <family val="2"/>
      </rPr>
      <t xml:space="preserve">PM Module to be integrated with 
1. </t>
    </r>
    <r>
      <rPr>
        <b/>
        <sz val="8"/>
        <rFont val="Calibri"/>
        <family val="2"/>
      </rPr>
      <t>claims system</t>
    </r>
    <r>
      <rPr>
        <sz val="8"/>
        <rFont val="Calibri"/>
        <family val="2"/>
      </rPr>
      <t xml:space="preserve"> : for Auto registration, complexity scoring, assessment rules etc..
2. P</t>
    </r>
    <r>
      <rPr>
        <b/>
        <sz val="8"/>
        <rFont val="Calibri"/>
        <family val="2"/>
      </rPr>
      <t xml:space="preserve">olicy admin system: </t>
    </r>
    <r>
      <rPr>
        <sz val="8"/>
        <rFont val="Calibri"/>
        <family val="2"/>
      </rPr>
      <t>Policy eligibilty, member eligibility, benefit eligibility
once the 3 systems are integrated PM module to prompt a message to provider upfront the status of claims (registered successfully, pending assessment or Pending payment etc)  based on the predefind rules set up in Claims module</t>
    </r>
  </si>
  <si>
    <r>
      <rPr>
        <b/>
        <sz val="8"/>
        <color theme="1"/>
        <rFont val="Calibri"/>
        <family val="2"/>
        <scheme val="minor"/>
      </rPr>
      <t>Provider Profile  Workflow:</t>
    </r>
    <r>
      <rPr>
        <sz val="8"/>
        <color theme="1"/>
        <rFont val="Calibri"/>
        <family val="2"/>
        <scheme val="minor"/>
      </rPr>
      <t xml:space="preserve"> - Ability to create &amp; update record of provider which cover Contracted &amp; Non contracted provider.                                                             
- Provider profile record is created once application for AIA preferred provider is created through eApplication or manual creation by PM team.
- Provider details are in data format and document format.  Provider details includes providre demography, practising details,  quality assurance, Supporting documents include but not limited to  proof of practice/qualification/quality asssurance/business registration etc.   
- Provider details update is performed by  manual data entry or electronic data transfer through provider portal or data exchange platform with group provider practice   *Any changes to the provider details are appropriately obtained and reviewed as part of the on-going provider engagement outside the system.
- Provider details will be used to support provider recruitment process, provider search, claims validation, quality assurance, utilisation analysis.
- Provider Type includes Medical Practitiner, X-ray &amp; lab centre, multi-pdispline clinic, physiotherapy center, hospitals.  Etc. 
- Provider practice type cover Group practice and solo practice.  Provider ID is assigned for each provider for identification
- Pre-defined data fields are avaiable for internal PM team to update discussion status as the result of Collaboration discussion by Phone, Face-to-Face Meeting, Online Meeting.                          - Provider ranking field is indicated for priority display for customer search in customer apps/portal for the purpose of steerage
- The provider profile record is indicated as "contracted provider" if the application is accepted subject to the confirmation status of profile review and contract negotiation.
- For provider whose application is not accepted can maintain the account as non contracted provider for future enquiry and communication with AIA   </t>
    </r>
  </si>
  <si>
    <r>
      <rPr>
        <b/>
        <sz val="8"/>
        <color theme="1"/>
        <rFont val="Calibri"/>
        <family val="2"/>
        <scheme val="minor"/>
      </rPr>
      <t xml:space="preserve">On-Boarding: </t>
    </r>
    <r>
      <rPr>
        <sz val="8"/>
        <color theme="1"/>
        <rFont val="Calibri"/>
        <family val="2"/>
        <scheme val="minor"/>
      </rPr>
      <t xml:space="preserve">
- Online on Boarding function is only available for contracted provider.   Contracted provider is informed to access to online On-Boarding functions for orientation materials after the application is accepted.
- Online on Boarding function provides mulitmedia orientation material to provider,                                                                                                                           AIA PM staffs will schedule and conduct orientation briefing and demo.  A welcome kit to be provided during orientation session.
</t>
    </r>
    <r>
      <rPr>
        <b/>
        <sz val="8"/>
        <color theme="1"/>
        <rFont val="Calibri"/>
        <family val="2"/>
        <scheme val="minor"/>
      </rPr>
      <t>e-Learning Platform</t>
    </r>
    <r>
      <rPr>
        <sz val="8"/>
        <color theme="1"/>
        <rFont val="Calibri"/>
        <family val="2"/>
        <scheme val="minor"/>
      </rPr>
      <t xml:space="preserve">
- Provide multimedia orientation material for all doctors and nurses of accredited Service Provider.
</t>
    </r>
    <r>
      <rPr>
        <b/>
        <sz val="8"/>
        <color theme="1"/>
        <rFont val="Calibri"/>
        <family val="2"/>
        <scheme val="minor"/>
      </rPr>
      <t>Orientation Material</t>
    </r>
    <r>
      <rPr>
        <sz val="8"/>
        <color theme="1"/>
        <rFont val="Calibri"/>
        <family val="2"/>
        <scheme val="minor"/>
      </rPr>
      <t xml:space="preserve">
- Respective Administrative Guideline documents for different types of service provider.
- Provider welcome kit with all the material and information required.
- Orientation Briefing
- Demonstration </t>
    </r>
    <r>
      <rPr>
        <sz val="8"/>
        <color theme="1"/>
        <rFont val="Times New Roman"/>
        <family val="1"/>
      </rPr>
      <t xml:space="preserve">
</t>
    </r>
  </si>
  <si>
    <r>
      <rPr>
        <b/>
        <sz val="8"/>
        <color theme="1"/>
        <rFont val="Calibri"/>
        <family val="2"/>
        <scheme val="minor"/>
      </rPr>
      <t>Mandatory Vs Non Mandatory (Management of Data):</t>
    </r>
    <r>
      <rPr>
        <sz val="8"/>
        <color theme="1"/>
        <rFont val="Calibri"/>
        <family val="2"/>
        <scheme val="minor"/>
      </rPr>
      <t xml:space="preserve">
Data input screen (to be classified into sections of information along with identifying mandatory and optional fields for contracted and non-contracted providers; fields that can be changed for the provider without having any impact on the basic profile) – such as provider number, provider name, address, certification, licenses, in force license dates, violations, fraudulent past et</t>
    </r>
  </si>
  <si>
    <r>
      <rPr>
        <b/>
        <sz val="8"/>
        <color theme="1"/>
        <rFont val="Calibri"/>
        <family val="2"/>
        <scheme val="minor"/>
      </rPr>
      <t xml:space="preserve">Quality Assurance:
</t>
    </r>
    <r>
      <rPr>
        <sz val="8"/>
        <color theme="1"/>
        <rFont val="Calibri"/>
        <family val="2"/>
        <scheme val="minor"/>
      </rPr>
      <t xml:space="preserve">Quality assurance covers information capturing of provider's practisting details,  clinic audit result, accreditation result, treatment outcome measurement and patient satisfication feedback.   The information captured is used to  benchmark against provider credential requirement for provider recruitment and contract renewal.   Ability for provider to input practising details and upload functions for provider to upload proof of supporting documents.   Quality score is calculated base ont pre-defined rules to classify quality level of provider. </t>
    </r>
  </si>
  <si>
    <r>
      <rPr>
        <b/>
        <sz val="8"/>
        <color theme="1"/>
        <rFont val="Calibri"/>
        <family val="2"/>
        <scheme val="minor"/>
      </rPr>
      <t xml:space="preserve">Customer feedback: </t>
    </r>
    <r>
      <rPr>
        <sz val="8"/>
        <color theme="1"/>
        <rFont val="Calibri"/>
        <family val="2"/>
        <scheme val="minor"/>
      </rPr>
      <t xml:space="preserve">
Ability to capture &amp; maintain Customer Feedback on survey &amp; complaint filed by customer.   The information is used to track against agreed SLA and form part of provider performance .      </t>
    </r>
  </si>
  <si>
    <r>
      <rPr>
        <b/>
        <sz val="8"/>
        <color theme="1"/>
        <rFont val="Calibri"/>
        <family val="2"/>
      </rPr>
      <t xml:space="preserve"> Provider Search:</t>
    </r>
    <r>
      <rPr>
        <sz val="8"/>
        <color theme="1"/>
        <rFont val="Calibri"/>
        <family val="2"/>
      </rPr>
      <t xml:space="preserve"> To enable
-PM team to provide administrative support and resolve provider enquiry
- Claims team to process and manage claims
- Customer to search their preferred provider within network or non- network in customer portal
- Support achievement of Steerage objectives- priority display of provider details
- Provider can search preferred specialist/facility for referral purpose in provider portal
- provider profile or contract can be searched by pre-defined searching criteria.  </t>
    </r>
  </si>
  <si>
    <r>
      <rPr>
        <b/>
        <sz val="8"/>
        <rFont val="Calibri"/>
        <family val="2"/>
      </rPr>
      <t xml:space="preserve">Claims Status: </t>
    </r>
    <r>
      <rPr>
        <sz val="8"/>
        <rFont val="Calibri"/>
        <family val="2"/>
      </rPr>
      <t xml:space="preserve">
- Claims transaction status - ability to show provider's claims status such as submitted, processed, pending , decline or paid, plus payment details.  
- Ability to download claimss status to enable provder to performane claims payment reconciliation.              
- Payment details refer to claims assessment result and fee schedule shall be provided for provider.  Details of payment is used for payment reconciliation if there is any dispute.   </t>
    </r>
  </si>
  <si>
    <r>
      <rPr>
        <b/>
        <sz val="8"/>
        <rFont val="Calibri"/>
        <family val="2"/>
      </rPr>
      <t xml:space="preserve">Provider Performance Dashbaords: </t>
    </r>
    <r>
      <rPr>
        <sz val="8"/>
        <rFont val="Calibri"/>
        <family val="2"/>
      </rPr>
      <t xml:space="preserve">
Provider performance diaglog is a process for PM team to discuss performance with provider.  Claims data analysis, utilization analysis,  service KPI measurement and QA KPI measurement of each  provider are summarized in Performance dashboard</t>
    </r>
  </si>
  <si>
    <r>
      <rPr>
        <b/>
        <sz val="8"/>
        <rFont val="Calibri"/>
        <family val="2"/>
      </rPr>
      <t xml:space="preserve">Risk Assessment during claims Assignment : </t>
    </r>
    <r>
      <rPr>
        <sz val="8"/>
        <rFont val="Calibri"/>
        <family val="2"/>
      </rPr>
      <t xml:space="preserve">
'Claims Validation cover the initial risk validation of eligible network provider and Fraud &amp; Abuse risk validation. Provider Profile/details  Provider is indicated as black list or watch list provider in result of utilization and performance analysis.   Red flag is alerted in claim process under risk scoring task if such indicator is active.   </t>
    </r>
  </si>
  <si>
    <r>
      <rPr>
        <b/>
        <sz val="8"/>
        <rFont val="Calibri"/>
        <family val="2"/>
      </rPr>
      <t>Provider Utilization Dashbaoards:</t>
    </r>
    <r>
      <rPr>
        <sz val="8"/>
        <rFont val="Calibri"/>
        <family val="2"/>
      </rPr>
      <t xml:space="preserve">
KPI dashboard Provider  - Show number of AIA customers served in a designated period.Show account payable report of the Doctor / Clinic in a designated period. Show customer feedback statistics</t>
    </r>
  </si>
  <si>
    <t>PM/ PA</t>
  </si>
  <si>
    <t>Network Management</t>
  </si>
  <si>
    <r>
      <rPr>
        <b/>
        <sz val="8"/>
        <rFont val="Calibri"/>
        <family val="2"/>
      </rPr>
      <t>Network Creation - Roles &amp; responsibilities:</t>
    </r>
    <r>
      <rPr>
        <sz val="8"/>
        <rFont val="Calibri"/>
        <family val="2"/>
      </rPr>
      <t xml:space="preserve">
Provider Management &amp; Policy Admin team:
Provider Management team is responsible for creating &amp; maintaining the network and its related properties like Network ID, Network Structure etc. 
Policy Admin team is responsible for Linking the network with Product/ Policy and the related plan.</t>
    </r>
  </si>
  <si>
    <t>Fee Structure</t>
  </si>
  <si>
    <t>Validation</t>
  </si>
  <si>
    <t>Prior Approval</t>
  </si>
  <si>
    <t>ASO Handling</t>
  </si>
  <si>
    <t>HLBR_Gen_0006</t>
  </si>
  <si>
    <t>HLBR_Gen_0007</t>
  </si>
  <si>
    <t>HLBR_Gen_0012</t>
  </si>
  <si>
    <t>HLBR_Gen_0013</t>
  </si>
  <si>
    <t>HLBR_Gen_0014</t>
  </si>
  <si>
    <t>HLBR_Gen_0018</t>
  </si>
  <si>
    <t>HLBR_Gen_0019</t>
  </si>
  <si>
    <t>HLBR_Gen_0022</t>
  </si>
  <si>
    <t>HLBR_Gen_0024</t>
  </si>
  <si>
    <t>HLBR_Gen_0026</t>
  </si>
  <si>
    <t>HLBR_Gen_0027</t>
  </si>
  <si>
    <t>HLBR_Gen_0028</t>
  </si>
  <si>
    <t>HLBR_Gen_0031</t>
  </si>
  <si>
    <t>Claims system/ Reporting Tool linked to data warehouse</t>
  </si>
  <si>
    <t>HLBR_Gen_0032</t>
  </si>
  <si>
    <t>HLBR_Gen_0033</t>
  </si>
  <si>
    <t>Validation/ reason codes</t>
  </si>
  <si>
    <t xml:space="preserve">As is </t>
  </si>
  <si>
    <r>
      <rPr>
        <b/>
        <sz val="8"/>
        <color rgb="FF000000"/>
        <rFont val="Calibri"/>
        <family val="2"/>
      </rPr>
      <t xml:space="preserve">Debit Note: </t>
    </r>
    <r>
      <rPr>
        <sz val="8"/>
        <color rgb="FF000000"/>
        <rFont val="Calibri"/>
        <family val="2"/>
      </rPr>
      <t xml:space="preserve">
System to have the capability to generate the debit note to be shared with the policy holder along with the cover note. 
Claims summary to be retrieved from system based on the selected policy and selected time frame. System to also give the flexibility to generate the ASO report at sub office level captured under the master policy.  
Format of the dashboard to be defined later with the business
</t>
    </r>
    <r>
      <rPr>
        <b/>
        <sz val="8"/>
        <color rgb="FF000000"/>
        <rFont val="Calibri"/>
        <family val="2"/>
      </rPr>
      <t/>
    </r>
  </si>
  <si>
    <r>
      <rPr>
        <b/>
        <sz val="8"/>
        <color rgb="FF000000"/>
        <rFont val="Calibri"/>
        <family val="2"/>
      </rPr>
      <t xml:space="preserve">EOB : </t>
    </r>
    <r>
      <rPr>
        <sz val="8"/>
        <color rgb="FF000000"/>
        <rFont val="Calibri"/>
        <family val="2"/>
      </rPr>
      <t xml:space="preserve">
System to have the capability to show clearly line item break up of  ASO payable amount in EOB while sharing it with the member/ Policy holder. This is to cater for customised arrangements with policy holder at policy level   
</t>
    </r>
    <r>
      <rPr>
        <b/>
        <sz val="8"/>
        <color rgb="FF000000"/>
        <rFont val="Calibri"/>
        <family val="2"/>
      </rPr>
      <t/>
    </r>
  </si>
  <si>
    <r>
      <rPr>
        <b/>
        <sz val="8"/>
        <color rgb="FF000000"/>
        <rFont val="Calibri"/>
        <family val="2"/>
      </rPr>
      <t>Recovery of ASO:</t>
    </r>
    <r>
      <rPr>
        <sz val="8"/>
        <color rgb="FF000000"/>
        <rFont val="Calibri"/>
        <family val="2"/>
      </rPr>
      <t xml:space="preserve">
</t>
    </r>
    <r>
      <rPr>
        <b/>
        <sz val="8"/>
        <color rgb="FF000000"/>
        <rFont val="Calibri"/>
        <family val="2"/>
      </rPr>
      <t xml:space="preserve">Recovery of ASO Amount including Fee: 
</t>
    </r>
    <r>
      <rPr>
        <sz val="8"/>
        <color rgb="FF000000"/>
        <rFont val="Calibri"/>
        <family val="2"/>
      </rPr>
      <t xml:space="preserve">While the payment to the ASO members is instant and billing cycle can be quarterly with the policy holder, System to open the recovery reserve for every case where the payment is expected back from ASO. 
Once the accumulated payment amount has reached the deposit amount of ASO, it should generate a reminder to collect the amount form ASO to ensure top up of deposit amount before making further payments.
System to block any further payments in case accumulated payment amount exceeds the deposit amount. Payment block to removed by Admin team (restricted access) in case the payment is to be processed on special handling.  
</t>
    </r>
    <r>
      <rPr>
        <b/>
        <sz val="8"/>
        <color rgb="FF000000"/>
        <rFont val="Calibri"/>
        <family val="2"/>
      </rPr>
      <t/>
    </r>
  </si>
  <si>
    <t>Coordination of benefits</t>
  </si>
  <si>
    <t>Yes - already defined my Software AG</t>
  </si>
  <si>
    <r>
      <t xml:space="preserve">Policy Benefit Limit Validation: </t>
    </r>
    <r>
      <rPr>
        <sz val="8"/>
        <color rgb="FF000000"/>
        <rFont val="Calibri"/>
        <family val="2"/>
      </rPr>
      <t xml:space="preserve">System to retrieve all the coverage/plan limits defined in the Policy admin system and past claims amount paid at coverage/plan and rider level to perform the validation on the  total amount eligible to be paid under the claim
Policy limit can be defined as below: </t>
    </r>
    <r>
      <rPr>
        <b/>
        <sz val="8"/>
        <color rgb="FF000000"/>
        <rFont val="Calibri"/>
        <family val="2"/>
      </rPr>
      <t xml:space="preserve">
•</t>
    </r>
    <r>
      <rPr>
        <sz val="8"/>
        <color rgb="FF000000"/>
        <rFont val="Calibri"/>
        <family val="2"/>
      </rPr>
      <t xml:space="preserve"> Accumulative limit 
• Overall limit
• Benefit limit per family
• Lifetime limit/ Annual limit
• Cost sharing etc.
• Network vs non network</t>
    </r>
    <r>
      <rPr>
        <b/>
        <sz val="8"/>
        <color rgb="FF000000"/>
        <rFont val="Calibri"/>
        <family val="2"/>
      </rPr>
      <t xml:space="preserve">
 All the product specific/ country specific rules to be defined later </t>
    </r>
  </si>
  <si>
    <r>
      <rPr>
        <b/>
        <sz val="8"/>
        <color rgb="FF000000"/>
        <rFont val="Calibri"/>
        <family val="2"/>
      </rPr>
      <t>Benefit Allocation: 
Automatic: 
1</t>
    </r>
    <r>
      <rPr>
        <sz val="8"/>
        <color rgb="FF000000"/>
        <rFont val="Calibri"/>
        <family val="2"/>
      </rPr>
      <t>. System should be integrated with AIA corporate website/ provider portal/ EDI capability to capture and allocate the claim amount per benefit to perform the assessment
2. OCR capability to electronically convert printer generated invoices line by line in he claims system and claims system to allocate the amount basis the benefit type and automatically key into the system
2.1. System to perform the validation on the total amount entered through OCR vs the total invoiced amount and throw the validation error in case amount doesn't match
3. Manual - when the billing amount is entered manually by the admin team before registration, system to automatically allocate the amount as pe the benefits defined in the system 
Rules of benefit allocation to be defined later</t>
    </r>
    <r>
      <rPr>
        <b/>
        <sz val="8"/>
        <color rgb="FF000000"/>
        <rFont val="Calibri"/>
        <family val="2"/>
      </rPr>
      <t xml:space="preserve">
</t>
    </r>
  </si>
  <si>
    <r>
      <rPr>
        <b/>
        <sz val="8"/>
        <color rgb="FF000000"/>
        <rFont val="Calibri"/>
        <family val="2"/>
      </rPr>
      <t>Assessment Calculation (Adjustment factor): 
(SMM Benefits):</t>
    </r>
    <r>
      <rPr>
        <sz val="8"/>
        <color rgb="FF000000"/>
        <rFont val="Calibri"/>
        <family val="2"/>
      </rPr>
      <t xml:space="preserve"> automatic calculations of adjustment factor in case member is eligible for SMM benefits basis the policy and plan type (per policy per plan). Business rules to be defined later to identify is SMM is applicable or not.
System should be able to identify the amount to be taken into consideration for SMM calculation. System should be able to calculate adjustment factor basis the actual room charges and the eligible limit for room charges.
System to have capability (automatic/manual) to adjust the meal charges for the last day meal for adjustment factor calculation
System to calculate all the overall amount after applying adjustment factor, applicable limit (80%/100%),coinsurance amount etc.
</t>
    </r>
    <r>
      <rPr>
        <b/>
        <sz val="8"/>
        <color rgb="FF000000"/>
        <rFont val="Calibri"/>
        <family val="2"/>
      </rPr>
      <t xml:space="preserve">Hospital Service: </t>
    </r>
    <r>
      <rPr>
        <sz val="8"/>
        <color rgb="FF000000"/>
        <rFont val="Calibri"/>
        <family val="2"/>
      </rPr>
      <t>Adjustment factor to be automatically calculated in case insured is eligible for same private ward and got admitted to private ward. 
all the product specific business rules (parameter based) to be identified with business</t>
    </r>
  </si>
  <si>
    <r>
      <rPr>
        <b/>
        <sz val="8"/>
        <color rgb="FF000000"/>
        <rFont val="Calibri"/>
        <family val="2"/>
      </rPr>
      <t xml:space="preserve">Override: 
Ex: 
Shortfall: </t>
    </r>
    <r>
      <rPr>
        <sz val="8"/>
        <color rgb="FF000000"/>
        <rFont val="Calibri"/>
        <family val="2"/>
      </rPr>
      <t xml:space="preserve">System to have capability to override shortfall or deductibles. 
</t>
    </r>
    <r>
      <rPr>
        <b/>
        <sz val="8"/>
        <color rgb="FF000000"/>
        <rFont val="Calibri"/>
        <family val="2"/>
      </rPr>
      <t>Waiver letter:</t>
    </r>
    <r>
      <rPr>
        <sz val="8"/>
        <color rgb="FF000000"/>
        <rFont val="Calibri"/>
        <family val="2"/>
      </rPr>
      <t xml:space="preserve"> in case of waiver letter system to allow the flexibility of over ride 
Details of other override reasons to be finalised with the Business later 
</t>
    </r>
    <r>
      <rPr>
        <b/>
        <sz val="8"/>
        <color rgb="FF000000"/>
        <rFont val="Calibri"/>
        <family val="2"/>
      </rPr>
      <t xml:space="preserve">
</t>
    </r>
    <r>
      <rPr>
        <sz val="8"/>
        <color rgb="FF000000"/>
        <rFont val="Calibri"/>
        <family val="2"/>
      </rPr>
      <t xml:space="preserve">System should allow to make final adjustments in the claims assessment with restricted user access (Authorisation)  to accommodate override payment.
</t>
    </r>
  </si>
  <si>
    <r>
      <rPr>
        <b/>
        <sz val="8"/>
        <color rgb="FF000000"/>
        <rFont val="Calibri"/>
        <family val="2"/>
      </rPr>
      <t xml:space="preserve">NCB workflow Management: 
NCB payment trigger: </t>
    </r>
    <r>
      <rPr>
        <sz val="8"/>
        <color rgb="FF000000"/>
        <rFont val="Calibri"/>
        <family val="2"/>
      </rPr>
      <t xml:space="preserve">System to automatically trigger the NCB payment indication to finance/billing team for them to initiate NCB payment to insured. NCB rules are stored in the PAS and to be retrieved and read by the claims system and claims system to check the previous claims record in case the NCB period is due. This process is to be run as a batch process every day and claims system to generate the trigger if policy passes the NCB criterion
</t>
    </r>
    <r>
      <rPr>
        <b/>
        <sz val="8"/>
        <color rgb="FF000000"/>
        <rFont val="Calibri"/>
        <family val="2"/>
      </rPr>
      <t>NCB Offset</t>
    </r>
    <r>
      <rPr>
        <sz val="8"/>
        <color rgb="FF000000"/>
        <rFont val="Calibri"/>
        <family val="2"/>
      </rPr>
      <t xml:space="preserve">: System to automatically offset the amount of NCB payment made in case the claim payment is made after NCB payment date and the incurred date is within the NCB review period.
</t>
    </r>
    <r>
      <rPr>
        <b/>
        <sz val="8"/>
        <color rgb="FF000000"/>
        <rFont val="Calibri"/>
        <family val="2"/>
      </rPr>
      <t>Manually Remove offset</t>
    </r>
    <r>
      <rPr>
        <sz val="8"/>
        <color rgb="FF000000"/>
        <rFont val="Calibri"/>
        <family val="2"/>
      </rPr>
      <t xml:space="preserve">: System to allow Claims handler to manually decouple/couple the NCB payment from claims payment. The NCB to be recover as a claw back amount (recovery amount) to be kept outstanding amount in claims system for future claims reductions in case the NCB is not recovered later. The Claw back amount and details to be kept in the claims history screen for enquiry purposes
NCB is offset should be a part of EOB and to be made available in settlement advice.
</t>
    </r>
  </si>
  <si>
    <t>Yes - Wendy to share the existing matric</t>
  </si>
  <si>
    <r>
      <rPr>
        <b/>
        <sz val="8"/>
        <color rgb="FF000000"/>
        <rFont val="Calibri"/>
        <family val="2"/>
      </rPr>
      <t>Reminder for Pending Claim:</t>
    </r>
    <r>
      <rPr>
        <sz val="8"/>
        <color rgb="FF000000"/>
        <rFont val="Calibri"/>
        <family val="2"/>
      </rPr>
      <t xml:space="preserve"> system should be able to generate a reminder if no response is received with in a specified TAT from external party - member/agent/provider
Reminders rules to be specified based to ensure the timely closure of the case.
System to all user to close the claim as rejected in case the no information is received from  insured/member after multiple reminder (rules to be defined) with a reason code </t>
    </r>
  </si>
  <si>
    <r>
      <rPr>
        <b/>
        <sz val="8"/>
        <color rgb="FF000000"/>
        <rFont val="Calibri"/>
        <family val="2"/>
      </rPr>
      <t>Auto Reminders for recurring payment:</t>
    </r>
    <r>
      <rPr>
        <sz val="8"/>
        <color rgb="FF000000"/>
        <rFont val="Calibri"/>
        <family val="2"/>
      </rPr>
      <t xml:space="preserve">
Claims system to have capability to generate auto reminders (can be recurring reminders) basis the predefined date set by the claim handlers. These reminder until closed by the claims handlers in the system after taking the appropriate action in the system should keep poppin up after certain intervals to ensure that they are actioned. Claims handler to add the comments while closing the reminders in the system  
eg. (Premium waiver for dependent till the time he/she attains the age of 25 years. System to generate reminder for claim handler to issue a Memo for dependent to start paying the premium else policy will be cancelled is the premium is not paid. system to generate recurring reminder letter in case no response received (remind again option while closing the reminder)
Business rules to be defined later </t>
    </r>
  </si>
  <si>
    <r>
      <rPr>
        <b/>
        <sz val="8"/>
        <color rgb="FF000000"/>
        <rFont val="Calibri"/>
        <family val="2"/>
      </rPr>
      <t xml:space="preserve">Action on reminders: </t>
    </r>
    <r>
      <rPr>
        <sz val="8"/>
        <color rgb="FF000000"/>
        <rFont val="Calibri"/>
        <family val="2"/>
      </rPr>
      <t>system to generate the reminder letters as per TAT with prepopulated text as per the previous letter with an addition of pre defined test ( 1st reminder etc.)</t>
    </r>
  </si>
  <si>
    <r>
      <rPr>
        <b/>
        <sz val="8"/>
        <color rgb="FF000000"/>
        <rFont val="Calibri"/>
        <family val="2"/>
      </rPr>
      <t>Financial Summary Sheet:</t>
    </r>
    <r>
      <rPr>
        <sz val="8"/>
        <color rgb="FF000000"/>
        <rFont val="Calibri"/>
        <family val="2"/>
      </rPr>
      <t xml:space="preserve">
Screen for data capture based on the benefit eligibility. It will have all the financial related data automatically calculated in a tabular format for claims handler validation. 
Some of the column heading are as below:
Presented amount
Agreed fee/Adjusted amount
Co Pay amount
eligible amount
Shortfall
Saving
NCB offset amount.
This tabular format will give a snapshot of all the eligible benefits and corresponding and total payable amount for claims handler validation.
Details of table  and fields to be defined later with business (40-50 fields)</t>
    </r>
  </si>
  <si>
    <r>
      <rPr>
        <b/>
        <sz val="8"/>
        <color rgb="FF000000"/>
        <rFont val="Calibri"/>
        <family val="2"/>
      </rPr>
      <t>Litigation - Flag, Referral, status Check</t>
    </r>
    <r>
      <rPr>
        <sz val="8"/>
        <color rgb="FF000000"/>
        <rFont val="Calibri"/>
        <family val="2"/>
      </rPr>
      <t xml:space="preserve">  
System to the capability to capture in case there is any expected litigation involved during and after claims assessment.
Closed claim can be reopened in case there is litigation involved after the claims settlement. 
System to have the capability to refer the case to internal counsel for legal opinion before going to external lawyers in case there is potential litigation on open claims.
System to have basic functionality to capture the litigation status in the claims system for tracking, reporting and status enquiry purposes.
Rules to be defined later
</t>
    </r>
  </si>
  <si>
    <r>
      <rPr>
        <b/>
        <sz val="8"/>
        <color rgb="FF000000"/>
        <rFont val="Calibri"/>
        <family val="2"/>
      </rPr>
      <t xml:space="preserve">Plan/Rider/Benefit Termination: 
</t>
    </r>
    <r>
      <rPr>
        <sz val="8"/>
        <color rgb="FF000000"/>
        <rFont val="Calibri"/>
        <family val="2"/>
      </rPr>
      <t xml:space="preserve">
System to automatically determine if the maximum limit basis amount/ type of benefit/rider type has reached/availed. System to automatically block the payment and initiate the termination process that coverage/benefit/rider. </t>
    </r>
    <r>
      <rPr>
        <b/>
        <sz val="8"/>
        <color rgb="FF000000"/>
        <rFont val="Calibri"/>
        <family val="2"/>
      </rPr>
      <t xml:space="preserve">
One time benefits:</t>
    </r>
    <r>
      <rPr>
        <sz val="8"/>
        <color rgb="FF000000"/>
        <rFont val="Calibri"/>
        <family val="2"/>
      </rPr>
      <t xml:space="preserve"> Get well benefit to be paid only once during the policy year, the rider to be terminated once it is paid within the policy year.
</t>
    </r>
    <r>
      <rPr>
        <b/>
        <sz val="8"/>
        <color rgb="FF000000"/>
        <rFont val="Calibri"/>
        <family val="2"/>
      </rPr>
      <t>Overall SMM life limit:</t>
    </r>
    <r>
      <rPr>
        <sz val="8"/>
        <color rgb="FF000000"/>
        <rFont val="Calibri"/>
        <family val="2"/>
      </rPr>
      <t xml:space="preserve"> Maximum lifetime limit for SMM limit is paid
</t>
    </r>
    <r>
      <rPr>
        <b/>
        <sz val="8"/>
        <color rgb="FF000000"/>
        <rFont val="Calibri"/>
        <family val="2"/>
      </rPr>
      <t xml:space="preserve">Hospital Income benefit PA Policy </t>
    </r>
    <r>
      <rPr>
        <sz val="8"/>
        <color rgb="FF000000"/>
        <rFont val="Calibri"/>
        <family val="2"/>
      </rPr>
      <t>- Maximum daily hospital income benefit paid.
1. System to generate automatic endorsement request for POS team for rider termination upon claims payment
2. Auto termination of rider/plan will be evaluated with agreement with countries 
Product/plan/coverage termination rules to be defined with business</t>
    </r>
  </si>
  <si>
    <r>
      <rPr>
        <b/>
        <sz val="8"/>
        <color rgb="FF000000"/>
        <rFont val="Calibri"/>
        <family val="2"/>
      </rPr>
      <t xml:space="preserve">Decline Claims: </t>
    </r>
    <r>
      <rPr>
        <sz val="8"/>
        <color rgb="FF000000"/>
        <rFont val="Calibri"/>
        <family val="2"/>
      </rPr>
      <t xml:space="preserve">CH should be able to tag the claim with right pending reason and code and system to automatically select the recipient and preferred mode of communication in case of external routing (system should be able to send communication to external parties:
Ex: 
1. Non covered service
2. Non covered medical condition
3. Non covered treatment 
4. Non covered geographical location 
5. Non covered benefit type
6. Non covered benefit item
7. Exceed benefit limit
8. Deductible 
9. Co-insurance
10. Co-payment 
11. Waiting period
12. Inappropriate treatment
13. Excessive charge
14. Excessive LOS etc.
System to generate EOB and CTC copy for all the rejected/declined claims.
</t>
    </r>
    <r>
      <rPr>
        <b/>
        <sz val="8"/>
        <color rgb="FF000000"/>
        <rFont val="Calibri"/>
        <family val="2"/>
      </rPr>
      <t>P.S.</t>
    </r>
    <r>
      <rPr>
        <sz val="8"/>
        <color rgb="FF000000"/>
        <rFont val="Calibri"/>
        <family val="2"/>
      </rPr>
      <t xml:space="preserve">: All the detailed codes are defined separately (Use existing as base)
</t>
    </r>
  </si>
  <si>
    <r>
      <rPr>
        <b/>
        <sz val="8"/>
        <color rgb="FF000000"/>
        <rFont val="Calibri"/>
        <family val="2"/>
      </rPr>
      <t xml:space="preserve">Tax Assessment: </t>
    </r>
    <r>
      <rPr>
        <sz val="8"/>
        <color rgb="FF000000"/>
        <rFont val="Calibri"/>
        <family val="2"/>
      </rPr>
      <t xml:space="preserve">
System to support any taxes involved during the entire claims assessment. Tax inclusion is captured at policy level (if covered or not). System to retrieve the data from PAS system to automatically do the assessment on calculations if they are to be paid or not.
</t>
    </r>
    <r>
      <rPr>
        <b/>
        <sz val="8"/>
        <color rgb="FF000000"/>
        <rFont val="Calibri"/>
        <family val="2"/>
      </rPr>
      <t xml:space="preserve">In case the taxes are to be paid system to have the capability to perform as per below :
</t>
    </r>
    <r>
      <rPr>
        <sz val="8"/>
        <color rgb="FF000000"/>
        <rFont val="Calibri"/>
        <family val="2"/>
      </rPr>
      <t xml:space="preserve">1. Payment amount equals to presented amount: system to automatically add the tax in the overall payment
2. Payment amount lesser than presented amount - Tax amount to be automatically adjusted the system as per the reduced adjusted amount) in case the taxes are captured at benefit level
3.  Payment amount lesser than presented amount - Tax amount adjustment to be manually adjusted by the clams handler </t>
    </r>
  </si>
  <si>
    <r>
      <rPr>
        <b/>
        <sz val="8"/>
        <color rgb="FF000000"/>
        <rFont val="Calibri"/>
        <family val="2"/>
      </rPr>
      <t>Scenario based Checklist (Program Reach):</t>
    </r>
    <r>
      <rPr>
        <sz val="8"/>
        <color rgb="FF000000"/>
        <rFont val="Calibri"/>
        <family val="2"/>
      </rPr>
      <t xml:space="preserve">
System to support scenario based check list In case there is a red flag/alert activated by claims system. 
All the red flags will have a predefined checklist that will be activated for claims handlers review and action. Claims handler to select all the check list items to remove the flag/alert. This is to ensure that claims handlers are following the defined rules for any red flags. 
Red flag/Alter to be automatically removed once all the checklist items have been performed by the system. System to block the payment in case any of the flag is not removed and should pop up a message back to user to complete the check list.
System to give flexibility to define/redefine the checklist and flags without IT intervention
Scenario based checklist to be defined by group later
</t>
    </r>
  </si>
  <si>
    <t>Credit Control</t>
  </si>
  <si>
    <r>
      <t xml:space="preserve">Credit Control (Credit control policy/compliance policy/risk management policy):
</t>
    </r>
    <r>
      <rPr>
        <sz val="8"/>
        <color rgb="FF000000"/>
        <rFont val="Calibri"/>
        <family val="2"/>
      </rPr>
      <t xml:space="preserve">System to have the capability to support below process validation and workflow as per the credit control policy: 
</t>
    </r>
    <r>
      <rPr>
        <b/>
        <sz val="8"/>
        <color rgb="FF000000"/>
        <rFont val="Calibri"/>
        <family val="2"/>
      </rPr>
      <t xml:space="preserve">
- </t>
    </r>
    <r>
      <rPr>
        <sz val="8"/>
        <color rgb="FF000000"/>
        <rFont val="Calibri"/>
        <family val="2"/>
      </rPr>
      <t>Hold claim process 
- Suspend cashless process 
- Suspend claims payment, suspend credit service  &amp; write off 
- Long outstanding shortfall will be written off base on credit control policy
Cashless/LOG/LG validation base on claims eligibility up to authorized credit limit specified for product/plan/policy in Credit control policy 
Issue shortfall amount summary with claimant details (no medical information is disclosed) to the Company if there is any outstanding shortfall amount base on credit control policy</t>
    </r>
  </si>
  <si>
    <t>HLBR_Gen_0034</t>
  </si>
  <si>
    <r>
      <rPr>
        <b/>
        <sz val="8"/>
        <rFont val="Calibri"/>
        <family val="2"/>
      </rPr>
      <t>Network Structure</t>
    </r>
    <r>
      <rPr>
        <sz val="8"/>
        <rFont val="Calibri"/>
        <family val="2"/>
      </rPr>
      <t xml:space="preserve">: 'System to be able to support the level of structure as per the attached diagram. System to follow the hierarcy starting with Doctor -&gt; Location -&gt; Provider -&gt; Network (4 entities). Each entity tio have N:N:N:N relationships. 
A doctor can be attached to many location, one location can be attached to many providers, one provider can be linked to many networks.
PM team while creating a new profile sHould be able to use this structure as applicable to create unique ID for individual doctor, Unique ID for Location, Unique ID for Provider.
There can instances where there is no provider linked to any location/doctor, System to generate a unique ID basis the combination of Location and Doctor in such scenarios
</t>
    </r>
    <r>
      <rPr>
        <sz val="8"/>
        <color rgb="FFFF0000"/>
        <rFont val="Calibri"/>
        <family val="2"/>
      </rPr>
      <t>Refer Supporting document</t>
    </r>
  </si>
  <si>
    <r>
      <rPr>
        <b/>
        <sz val="8"/>
        <color theme="1"/>
        <rFont val="Calibri"/>
        <family val="2"/>
      </rPr>
      <t xml:space="preserve">Copy/Move Claims Documents: </t>
    </r>
    <r>
      <rPr>
        <sz val="8"/>
        <color theme="1"/>
        <rFont val="Calibri"/>
        <family val="2"/>
      </rPr>
      <t xml:space="preserve">Ability to copy claim documents from one folder to another in below cases:
1.  Primary member ID was captured in the claim form but the claim was actually for the additional / dependant
2. Documents were tagged to a different Member ID/wrong member ID
3. One transition ID have multiple insured/multiple claims
System to have flexibility to copy full/partial set of documents from the overall set of document/folder
</t>
    </r>
  </si>
  <si>
    <r>
      <rPr>
        <b/>
        <sz val="8"/>
        <color theme="1"/>
        <rFont val="Calibri"/>
        <family val="2"/>
      </rPr>
      <t>Assessment calculations:</t>
    </r>
    <r>
      <rPr>
        <sz val="8"/>
        <color rgb="FF000000"/>
        <rFont val="Calibri"/>
        <family val="2"/>
      </rPr>
      <t xml:space="preserve">
System to automatically calculate the payable amount once the eligible benefits and their corresponding amount is entered/captured in the assessment sheet. 
System should give the flexibility to claim handlers to correct/override  the payable amount in case the calculation need adjustments or modifications. Claim handler to capture the reason for override. </t>
    </r>
  </si>
  <si>
    <r>
      <rPr>
        <b/>
        <sz val="8"/>
        <color theme="1"/>
        <rFont val="Calibri"/>
        <family val="2"/>
        <scheme val="minor"/>
      </rPr>
      <t xml:space="preserve">Concept - 4 level of validation: </t>
    </r>
    <r>
      <rPr>
        <sz val="8"/>
        <color theme="1"/>
        <rFont val="Calibri"/>
        <family val="2"/>
        <scheme val="minor"/>
      </rPr>
      <t xml:space="preserve">
</t>
    </r>
    <r>
      <rPr>
        <b/>
        <sz val="8"/>
        <color theme="1"/>
        <rFont val="Calibri"/>
        <family val="2"/>
        <scheme val="minor"/>
      </rPr>
      <t>1. Eligibility -</t>
    </r>
    <r>
      <rPr>
        <sz val="8"/>
        <color theme="1"/>
        <rFont val="Calibri"/>
        <family val="2"/>
        <scheme val="minor"/>
      </rPr>
      <t xml:space="preserve"> Policy, Member, provider (will be performed by system during registration and will be validated by claims handler during assessment)
</t>
    </r>
    <r>
      <rPr>
        <b/>
        <sz val="8"/>
        <color theme="1"/>
        <rFont val="Calibri"/>
        <family val="2"/>
        <scheme val="minor"/>
      </rPr>
      <t>2. Medical assessment -</t>
    </r>
    <r>
      <rPr>
        <sz val="8"/>
        <color theme="1"/>
        <rFont val="Calibri"/>
        <family val="2"/>
        <scheme val="minor"/>
      </rPr>
      <t xml:space="preserve"> PEC, Exclusions, Diagnosis relevancy (will be performed by system during registration and will be validated by claims handler during assessment)
</t>
    </r>
    <r>
      <rPr>
        <b/>
        <sz val="8"/>
        <color theme="1"/>
        <rFont val="Calibri"/>
        <family val="2"/>
        <scheme val="minor"/>
      </rPr>
      <t xml:space="preserve">3. Provider fee validation: </t>
    </r>
    <r>
      <rPr>
        <sz val="8"/>
        <color theme="1"/>
        <rFont val="Calibri"/>
        <family val="2"/>
        <scheme val="minor"/>
      </rPr>
      <t xml:space="preserve">will be performed by system and raise flag for high risk 
     Network/ Panel Provider 
     Non network - R&amp;C comparison
4. </t>
    </r>
    <r>
      <rPr>
        <b/>
        <sz val="8"/>
        <color theme="1"/>
        <rFont val="Calibri"/>
        <family val="2"/>
        <scheme val="minor"/>
      </rPr>
      <t xml:space="preserve">Benefit calculation: </t>
    </r>
    <r>
      <rPr>
        <sz val="8"/>
        <color theme="1"/>
        <rFont val="Calibri"/>
        <family val="2"/>
        <scheme val="minor"/>
      </rPr>
      <t>Will be performed by system</t>
    </r>
    <r>
      <rPr>
        <b/>
        <sz val="8"/>
        <color theme="1"/>
        <rFont val="Calibri"/>
        <family val="2"/>
        <scheme val="minor"/>
      </rPr>
      <t xml:space="preserve"> </t>
    </r>
    <r>
      <rPr>
        <sz val="8"/>
        <color theme="1"/>
        <rFont val="Calibri"/>
        <family val="2"/>
        <scheme val="minor"/>
      </rPr>
      <t xml:space="preserve">
   Limits at policy level
   Previous claims accumulation
   Presented amount vs eligible/adjusted amount
</t>
    </r>
  </si>
  <si>
    <r>
      <rPr>
        <b/>
        <sz val="8"/>
        <color rgb="FF000000"/>
        <rFont val="Calibri"/>
        <family val="2"/>
      </rPr>
      <t>Linking of multiple policies with single claims:</t>
    </r>
    <r>
      <rPr>
        <sz val="8"/>
        <color rgb="FF000000"/>
        <rFont val="Calibri"/>
        <family val="2"/>
      </rPr>
      <t xml:space="preserve">
System to have the ability to automatically identify and link the active and eligible policies to the claim. 
System to identify the active eligible policies basis the Medical information entered by Provider/ admin team and automatically tag those policies to be linked to the claim.
System to have the flexibility to link additional active policy/ies or delink any policies for the claims. 
Claims Handler to manually select/deselect the policies to be linked to the claim (Both CS &amp; IL)</t>
    </r>
  </si>
  <si>
    <r>
      <rPr>
        <b/>
        <sz val="8"/>
        <color rgb="FF000000"/>
        <rFont val="Calibri"/>
        <family val="2"/>
      </rPr>
      <t>Same Disability Tagging:</t>
    </r>
    <r>
      <rPr>
        <sz val="8"/>
        <color rgb="FF000000"/>
        <rFont val="Calibri"/>
        <family val="2"/>
      </rPr>
      <t xml:space="preserve"> 'Ability to tag a successive claim under same disability  even if the new claim incurred date is prior to existing claims to ensure the aggregate limit is not breached for same disability</t>
    </r>
  </si>
  <si>
    <r>
      <rPr>
        <b/>
        <sz val="8"/>
        <color rgb="FF000000"/>
        <rFont val="Calibri"/>
        <family val="2"/>
      </rPr>
      <t>Fraud Trigger (Program Reach):</t>
    </r>
    <r>
      <rPr>
        <sz val="8"/>
        <color rgb="FF000000"/>
        <rFont val="Calibri"/>
        <family val="2"/>
      </rPr>
      <t xml:space="preserve"> 'Ability to automatically detect fraud based on pre-defined business rules (e.g. frequency of claim, treatment mismatch , etc.) from claim system and generate a potential fraud flag
Fraud rules to be embedded (each fraud rule to have a weightage assigned)  in overall complexity rating/ risk rating of the claim.  
Fraud detection business rules requirement to be defined under business rules</t>
    </r>
  </si>
  <si>
    <t>External fraud system/just referral within claims system</t>
  </si>
  <si>
    <r>
      <rPr>
        <b/>
        <sz val="8"/>
        <color rgb="FF000000"/>
        <rFont val="Calibri"/>
        <family val="2"/>
      </rPr>
      <t xml:space="preserve">Fraud Notification (Program Reach): </t>
    </r>
    <r>
      <rPr>
        <sz val="8"/>
        <color rgb="FF000000"/>
        <rFont val="Calibri"/>
        <family val="2"/>
      </rPr>
      <t>'Ability to notify claim handler/fraud team based on the risk score/complexity score. 
'The claim should be flagged and payment to be blocked till fraud flag is cleared. System to have the capability to provide assess permission who can clear the fraud flag.
Fraud notification business rules requirement to be defined under business rules (in what scenarios the case to be assigned to SIU team vs Claims handler)</t>
    </r>
  </si>
  <si>
    <r>
      <rPr>
        <b/>
        <sz val="8"/>
        <color rgb="FF000000"/>
        <rFont val="Calibri"/>
        <family val="2"/>
      </rPr>
      <t>Recovery Trigger:</t>
    </r>
    <r>
      <rPr>
        <sz val="8"/>
        <color rgb="FF000000"/>
        <rFont val="Calibri"/>
        <family val="2"/>
      </rPr>
      <t xml:space="preserve"> 'Ability to automatically detect recovery opportunities based on pre-defined basic business rules and notify recovery team/claim handler to follow up on the early recovery opportunity (for the recovery notification requirement) ex. cause of loss is accident and third party is at loss
'Alert for recovery during any time in life cycle of claim
Ability to notify insured right away that they will follow-up on recovery in case of policy breach
Recovery business rules to be defined  under business rules requirement</t>
    </r>
  </si>
  <si>
    <t>External recovery system/just referral within claims system</t>
  </si>
  <si>
    <r>
      <rPr>
        <b/>
        <sz val="8"/>
        <color rgb="FF000000"/>
        <rFont val="Calibri"/>
        <family val="2"/>
      </rPr>
      <t>Generate PLA:</t>
    </r>
    <r>
      <rPr>
        <sz val="8"/>
        <color rgb="FF000000"/>
        <rFont val="Calibri"/>
        <family val="2"/>
      </rPr>
      <t xml:space="preserve"> 'Ability to automatically generate a preliminary loss advice (PLA) with initial reserve amount and send to reinsurers.
System should have the functionality to print/export to pdf all the previous related claims documents that have contributed to reinsurance trigger
'Alert for  reinsurance to be automatic depending on the limits / share as already available in policy screen . Not only at time of claim registration it should have option to send alert during life cycle of claim depending as if reserve changed / recovery limit started. 
Claims system to be integrated with reinsurance system to ensure that the all the reinsurance details are available in claims system whenever there is a reinsurance trigger. Claims system to retrieve all the reinsurance agreement type (F, Q, CO, etc.) with their corresponding percentage and share.
System to support Contact centre enquiry on reinsurance status.</t>
    </r>
  </si>
  <si>
    <t>Business rules/ PAS/ Claims System/ Reinsurance system</t>
  </si>
  <si>
    <r>
      <rPr>
        <b/>
        <sz val="8"/>
        <color rgb="FF000000"/>
        <rFont val="Calibri"/>
        <family val="2"/>
      </rPr>
      <t xml:space="preserve">Claims Segmentation (Program Reach): </t>
    </r>
    <r>
      <rPr>
        <sz val="8"/>
        <color rgb="FF000000"/>
        <rFont val="Calibri"/>
        <family val="2"/>
      </rPr>
      <t xml:space="preserve">'Ability to automatically segment claims based on the complexity rating/ risk rating.  Risk rating to consider presented amount, validation rules result, Fraud rules results, illness codes etc. 
All claims to be segmented into 9 risk profiles categories, starting with 1 - Low risk (STP) up till 9- (High risk with Fraud (SIU alert)
Claims segmentation business rules requirement to be finalised later </t>
    </r>
  </si>
  <si>
    <r>
      <rPr>
        <b/>
        <sz val="8"/>
        <color rgb="FF000000"/>
        <rFont val="Calibri"/>
        <family val="2"/>
      </rPr>
      <t>Claims Reassignment:</t>
    </r>
    <r>
      <rPr>
        <sz val="8"/>
        <color rgb="FF000000"/>
        <rFont val="Calibri"/>
        <family val="2"/>
      </rPr>
      <t xml:space="preserve"> 'Ability to automatically/manually re-assign a claim based on Claims Handler availability (due to illness, number of cases, emergency leave etc.)  or in an event where it crosses the authority limit of the current claims handler</t>
    </r>
  </si>
  <si>
    <r>
      <rPr>
        <b/>
        <sz val="8"/>
        <color rgb="FF000000"/>
        <rFont val="Calibri"/>
        <family val="2"/>
      </rPr>
      <t>Higher Approval:</t>
    </r>
    <r>
      <rPr>
        <sz val="8"/>
        <color rgb="FF000000"/>
        <rFont val="Calibri"/>
        <family val="2"/>
      </rPr>
      <t xml:space="preserve"> 
'Ability to invoke the escalation and approval process automatically, when a claim handler makes payment above their authority limit.
' high approval for specific claim decision, e.g. external investigating, decline, policy rescindment, etc. Rules to be defined in details with business
System to automatically route the case to higher approver based on predefined rules </t>
    </r>
  </si>
  <si>
    <r>
      <rPr>
        <b/>
        <sz val="8"/>
        <color rgb="FF000000"/>
        <rFont val="Calibri"/>
        <family val="2"/>
      </rPr>
      <t>Claims History :</t>
    </r>
    <r>
      <rPr>
        <sz val="8"/>
        <color rgb="FF000000"/>
        <rFont val="Calibri"/>
        <family val="2"/>
      </rPr>
      <t xml:space="preserve"> 
Claims history to be linked with Member ID/Name/DOB combinations. Claims handler can run the claim history query based on predefined parameters. System to show the results of claims history as per the search criterion in a tabular format with predefined field (to be finalised).
Once the claims history is populated in the screen, claims handler to have the flexibility to click on any of the claim and it should direct the claim handler to the full details of the claim (read only)
Claims history page to be made available to contact centre team for any claim related enquiry on any previous closed claim
System to support print function of Claims History in excel format
All search criterion to be finalised later with business</t>
    </r>
  </si>
  <si>
    <r>
      <rPr>
        <b/>
        <sz val="8"/>
        <color rgb="FF000000"/>
        <rFont val="Calibri"/>
        <family val="2"/>
      </rPr>
      <t xml:space="preserve">Eligibility Check for riders: </t>
    </r>
    <r>
      <rPr>
        <sz val="8"/>
        <color rgb="FF000000"/>
        <rFont val="Calibri"/>
        <family val="2"/>
      </rPr>
      <t xml:space="preserve">System should have the capability to perform the eligibility check on all rider that are eligible for a particular claim. Once claims handler select the claim type and the diagnosis code, system to automatically change the eligible benefits/rider status to eligible.
Eligibility on basis of 2 criterion:
1. Claim Type
2. diagnosis code
Additional eligibility criterion to be considered as per the need from Business ex below:
- Rider status
- PTD
- Exclusion
- Waiting period
- Pre-existing rules  
Eligibility check of policy has already been performed by the system during claims registration. The corresponding eligible  add-ons benefits/riders will also be selected during registration. Claims handler during assessment will have the full list of all the policies and eligible policies (system result), all riders under policies and eligible riders (system result). 
System to give a flexibility to claims handler to unselect/select riders to over right the system results.
3 scenarios: 
1. </t>
    </r>
    <r>
      <rPr>
        <b/>
        <sz val="8"/>
        <color rgb="FF000000"/>
        <rFont val="Calibri"/>
        <family val="2"/>
      </rPr>
      <t>During Registration:</t>
    </r>
    <r>
      <rPr>
        <sz val="8"/>
        <color rgb="FF000000"/>
        <rFont val="Calibri"/>
        <family val="2"/>
      </rPr>
      <t xml:space="preserve"> in case of exgratia payments; system to retrieve the information from PAS and tag the case for special handling , claims will be assigned to appropriate group who have the authority to make ex-gratia/special handling request/payment
2. </t>
    </r>
    <r>
      <rPr>
        <b/>
        <sz val="8"/>
        <color rgb="FF000000"/>
        <rFont val="Calibri"/>
        <family val="2"/>
      </rPr>
      <t>After registration:</t>
    </r>
    <r>
      <rPr>
        <sz val="8"/>
        <color rgb="FF000000"/>
        <rFont val="Calibri"/>
        <family val="2"/>
      </rPr>
      <t xml:space="preserve"> in case the request for ex-gratia comes after registration, claims to be escalated to higher approver if current claims handlers doesn't have exgratia payment authority
3. Appeal case: Reopen the claims and assign to special handling team for ex-gratia payment
Business rules to be defined later
</t>
    </r>
  </si>
  <si>
    <r>
      <rPr>
        <b/>
        <sz val="8"/>
        <color theme="1"/>
        <rFont val="Calibri"/>
        <family val="2"/>
        <scheme val="minor"/>
      </rPr>
      <t>Exchange rate:</t>
    </r>
    <r>
      <rPr>
        <sz val="8"/>
        <color theme="1"/>
        <rFont val="Calibri"/>
        <family val="2"/>
        <scheme val="minor"/>
      </rPr>
      <t xml:space="preserve"> System to be integrated with exchange rate site to auto populate the exchange rate once the payment currency is selected by claim handler. System to automatically pick the current exchange rate values. Claims handler to have the flexibility to change the date in any previous date to get the exchange rate for any particular date. 
</t>
    </r>
  </si>
  <si>
    <t>Claims System, Exchange rate site</t>
  </si>
  <si>
    <r>
      <rPr>
        <b/>
        <sz val="8"/>
        <color rgb="FF000000"/>
        <rFont val="Calibri"/>
        <family val="2"/>
      </rPr>
      <t xml:space="preserve">Mode of Payment: 
</t>
    </r>
    <r>
      <rPr>
        <sz val="8"/>
        <color rgb="FF000000"/>
        <rFont val="Calibri"/>
        <family val="2"/>
      </rPr>
      <t>Ability to support different payment methods (e.g. cheque, e-payment, TT, fund transfer, bank draft) to insured, third party or service provider</t>
    </r>
    <r>
      <rPr>
        <sz val="8"/>
        <color theme="1"/>
        <rFont val="Calibri"/>
        <family val="2"/>
        <scheme val="minor"/>
      </rPr>
      <t xml:space="preserve">
System to automatically select (Default)  the mode of payment basis the information captured in PAS.  
1. GIRO details if previously provided should appear while making the payment and should be defaulted as the preferred mode of payment. Claims assessor should not be allowed to edit the bank details of insured.
2. Claim handler to change the mode of payment in case claimant wants the payment to be paid with other payment mode. System to restrict mode of payment change restricted to that particular claim in case it is changes from Auto to Check. 
3. Claims handler to interact with PA team in case claimant wants auto payment. PA team to make the changes at the policy level for auto reflection of bank details in claims system.
3. System to suppress the auto payment in case the payment amount is above a particular threshold for credit control purposes. System to have the flexibility to change this threshold  value without IT intervention to enable better penetration rate for auto payment.
</t>
    </r>
  </si>
  <si>
    <r>
      <rPr>
        <b/>
        <sz val="8"/>
        <color theme="1"/>
        <rFont val="Calibri"/>
        <family val="2"/>
        <scheme val="minor"/>
      </rPr>
      <t>Recurring payments:</t>
    </r>
    <r>
      <rPr>
        <sz val="8"/>
        <color theme="1"/>
        <rFont val="Calibri"/>
        <family val="2"/>
        <scheme val="minor"/>
      </rPr>
      <t xml:space="preserve"> System to support recurring payment (monthly, quarterly, annually etc. for multiple years) as captured in the PAS. Major claims including critical illness, disability claims have fixed amount to be paid per frequency. System to be integrated with PAS to retrieve the payment schedule and set up the recurring payment automatically with predefined future payment dates
Recurring payment automatically setup by the system is always conditional recurring payment, and unless the conditions are manually removed by the claims handler, system to block the recurring payment.
</t>
    </r>
    <r>
      <rPr>
        <b/>
        <sz val="8"/>
        <color theme="1"/>
        <rFont val="Calibri"/>
        <family val="2"/>
        <scheme val="minor"/>
      </rPr>
      <t xml:space="preserve">Ex. of Conditions: </t>
    </r>
    <r>
      <rPr>
        <sz val="8"/>
        <color theme="1"/>
        <rFont val="Calibri"/>
        <family val="2"/>
        <scheme val="minor"/>
      </rPr>
      <t xml:space="preserve">
1. Doctors report to be submitted as a proof for continuation of disability before release of payment.   
2. Proof of alive has to be submitted before releasing the payment.
</t>
    </r>
    <r>
      <rPr>
        <b/>
        <sz val="8"/>
        <color theme="1"/>
        <rFont val="Calibri"/>
        <family val="2"/>
        <scheme val="minor"/>
      </rPr>
      <t>Conditions to be finalised later with business</t>
    </r>
    <r>
      <rPr>
        <sz val="8"/>
        <color theme="1"/>
        <rFont val="Calibri"/>
        <family val="2"/>
        <scheme val="minor"/>
      </rPr>
      <t xml:space="preserve">
</t>
    </r>
    <r>
      <rPr>
        <b/>
        <sz val="8"/>
        <color theme="1"/>
        <rFont val="Calibri"/>
        <family val="2"/>
        <scheme val="minor"/>
      </rPr>
      <t>Advance reminders before making recurring payment:</t>
    </r>
    <r>
      <rPr>
        <sz val="8"/>
        <color theme="1"/>
        <rFont val="Calibri"/>
        <family val="2"/>
        <scheme val="minor"/>
      </rPr>
      <t xml:space="preserve"> System to automatically generate reminders much prior to recurring date to ensure sufficient efforts are put to validate the condition.
</t>
    </r>
    <r>
      <rPr>
        <b/>
        <sz val="8"/>
        <color theme="1"/>
        <rFont val="Calibri"/>
        <family val="2"/>
        <scheme val="minor"/>
      </rPr>
      <t xml:space="preserve">Flexibility to change any payment date in case payment is blocked due to condition not met: </t>
    </r>
    <r>
      <rPr>
        <sz val="8"/>
        <color theme="1"/>
        <rFont val="Calibri"/>
        <family val="2"/>
        <scheme val="minor"/>
      </rPr>
      <t xml:space="preserve">System to allow claims handler to change the date to any later day in case the payment is blocked by the system due to late submission of document. this change of date is restricted to only one particular payment and should not have any impact on the overall recurring schedule.
</t>
    </r>
    <r>
      <rPr>
        <b/>
        <sz val="8"/>
        <color theme="1"/>
        <rFont val="Calibri"/>
        <family val="2"/>
        <scheme val="minor"/>
      </rPr>
      <t>Claims closure rules:</t>
    </r>
    <r>
      <rPr>
        <sz val="8"/>
        <color theme="1"/>
        <rFont val="Calibri"/>
        <family val="2"/>
        <scheme val="minor"/>
      </rPr>
      <t xml:space="preserve"> System to automatically close the claim in case the sufficient documents have not been received after predefined attempts and system to generate report on any automatic closure of claims on daily basis (if any) </t>
    </r>
  </si>
  <si>
    <r>
      <rPr>
        <b/>
        <sz val="8"/>
        <color theme="1"/>
        <rFont val="Calibri"/>
        <family val="2"/>
        <scheme val="minor"/>
      </rPr>
      <t>Settlement letter :</t>
    </r>
    <r>
      <rPr>
        <sz val="8"/>
        <color theme="1"/>
        <rFont val="Calibri"/>
        <family val="2"/>
        <scheme val="minor"/>
      </rPr>
      <t xml:space="preserve"> system to generate the settlement letter explaining the break up of pay-out with all the deductions and adjustments (Explanation of benefits). This should also include all the benefits that are not paid and pending clarifications.
EOB should also include the tax breakup calculations if applicable</t>
    </r>
  </si>
  <si>
    <r>
      <rPr>
        <b/>
        <sz val="8"/>
        <color rgb="FF000000"/>
        <rFont val="Calibri"/>
        <family val="2"/>
      </rPr>
      <t>Payment Cycle:</t>
    </r>
    <r>
      <rPr>
        <sz val="8"/>
        <color rgb="FF000000"/>
        <rFont val="Calibri"/>
        <family val="2"/>
      </rPr>
      <t xml:space="preserve">
System to be integrated with Provider management module to retrieve the payment cycle details for any particular provider as agreed in the contract.
Payment cycle could be Weekly, daily, fortnightly, Monthly etc.
Once system retrieve this information from the PM module, system to calculate the nearest payment date and for making the payment. All the claims payment approved by claims handlers towards a particular provider over a period of time between two payment cycle to be accumulated  and to be paid only on the next payment cycle.
System to generate the summary report to be shared with the provider once payment is successful. The format of report to be defined later has to include (Presented amount, transaction no., Adjusted amount, submission date, claim number etc.) of all the paid claims) </t>
    </r>
  </si>
  <si>
    <r>
      <rPr>
        <b/>
        <sz val="8"/>
        <color rgb="FF000000"/>
        <rFont val="Calibri"/>
        <family val="2"/>
      </rPr>
      <t xml:space="preserve">Payment Cancelation (adjustments) : </t>
    </r>
    <r>
      <rPr>
        <sz val="8"/>
        <color rgb="FF000000"/>
        <rFont val="Calibri"/>
        <family val="2"/>
      </rPr>
      <t>'System to have the ability to perform the adjustments based on various factors that goes inside the calculation and process of adjustments. The details of various scenarios and the corresponding impact on various processes and financial transactions are captured in the attached spreadsheet.</t>
    </r>
  </si>
  <si>
    <r>
      <rPr>
        <b/>
        <sz val="8"/>
        <color rgb="FF000000"/>
        <rFont val="Calibri"/>
        <family val="2"/>
      </rPr>
      <t>Preferred Channel:</t>
    </r>
    <r>
      <rPr>
        <sz val="8"/>
        <color rgb="FF000000"/>
        <rFont val="Calibri"/>
        <family val="2"/>
      </rPr>
      <t xml:space="preserve"> 'Ability to automatically and manually send decline letter to selected recipient(s) via preferred channel(s) once all approvals have been secured (e.g. manager, HK BP etc.)
1. Send decline letter to insured/member  via email, sms, mobile app or register letter 
2. Send decline letter to agent via email, SMS per letter
3. Send decline letter to third party service providers via letter, provider portal, 
4. Send decline letter to other business unit internal via email or letter</t>
    </r>
  </si>
  <si>
    <r>
      <t xml:space="preserve">
'</t>
    </r>
    <r>
      <rPr>
        <b/>
        <sz val="8"/>
        <color theme="1"/>
        <rFont val="Calibri"/>
        <family val="2"/>
        <scheme val="minor"/>
      </rPr>
      <t xml:space="preserve">Settlement Code: </t>
    </r>
    <r>
      <rPr>
        <sz val="8"/>
        <color theme="1"/>
        <rFont val="Calibri"/>
        <family val="2"/>
        <scheme val="minor"/>
      </rPr>
      <t xml:space="preserve">System to allow users to capture the settlement code before closing the case. System to be able to generate a report for any given time period for any of the specific codes
</t>
    </r>
    <r>
      <rPr>
        <b/>
        <sz val="8"/>
        <color theme="1"/>
        <rFont val="Calibri"/>
        <family val="2"/>
        <scheme val="minor"/>
      </rPr>
      <t xml:space="preserve">Denial codes
</t>
    </r>
    <r>
      <rPr>
        <sz val="8"/>
        <color theme="1"/>
        <rFont val="Calibri"/>
        <family val="2"/>
        <scheme val="minor"/>
      </rPr>
      <t>1. Non covered service
2. Non covered medical condition
3. Non covered treatment 
4. Non covered geographical location 
5. Non covered benefit type
6. Non covered benefit item
7. Exceed benefit limit
8. Deductible 
9. Co-insurance
10. Co-payment 
11. Waiting period
12. Inappropriate treatment
13. Excessive charge
14. Excessive LOS</t>
    </r>
    <r>
      <rPr>
        <b/>
        <sz val="8"/>
        <color theme="1"/>
        <rFont val="Calibri"/>
        <family val="2"/>
        <scheme val="minor"/>
      </rPr>
      <t xml:space="preserve">
</t>
    </r>
    <r>
      <rPr>
        <sz val="8"/>
        <color theme="1"/>
        <rFont val="Calibri"/>
        <family val="2"/>
        <scheme val="minor"/>
      </rPr>
      <t xml:space="preserve">
</t>
    </r>
    <r>
      <rPr>
        <b/>
        <sz val="8"/>
        <color theme="1"/>
        <rFont val="Calibri"/>
        <family val="2"/>
        <scheme val="minor"/>
      </rPr>
      <t>Suspend code</t>
    </r>
    <r>
      <rPr>
        <sz val="8"/>
        <color theme="1"/>
        <rFont val="Calibri"/>
        <family val="2"/>
        <scheme val="minor"/>
      </rPr>
      <t xml:space="preserve">
1. Pending for further information 
2. Outstanding premium 
3. Outstanding shortfall 
4. Other policy/member status (TBC)
5. Customer watch list/ Restrict client
6. Provider watch list/Blacklist
7. Agent watch list
8. Excessive charge
9. Excessive LOS
10. Inappropriate treatment 
11. Waiting period
12. Exclusion
</t>
    </r>
    <r>
      <rPr>
        <b/>
        <sz val="8"/>
        <color theme="1"/>
        <rFont val="Calibri"/>
        <family val="2"/>
        <scheme val="minor"/>
      </rPr>
      <t>Shortfall code
Settlement code(Pay/Ex-gratia)</t>
    </r>
    <r>
      <rPr>
        <sz val="8"/>
        <color theme="1"/>
        <rFont val="Calibri"/>
        <family val="2"/>
        <scheme val="minor"/>
      </rPr>
      <t xml:space="preserve">
</t>
    </r>
    <r>
      <rPr>
        <b/>
        <sz val="8"/>
        <color theme="1"/>
        <rFont val="Calibri"/>
        <family val="2"/>
        <scheme val="minor"/>
      </rPr>
      <t>Void codes</t>
    </r>
    <r>
      <rPr>
        <sz val="8"/>
        <color theme="1"/>
        <rFont val="Calibri"/>
        <family val="2"/>
        <scheme val="minor"/>
      </rPr>
      <t xml:space="preserve">
</t>
    </r>
  </si>
  <si>
    <r>
      <rPr>
        <b/>
        <sz val="8"/>
        <color theme="1"/>
        <rFont val="Calibri"/>
        <family val="2"/>
        <scheme val="minor"/>
      </rPr>
      <t xml:space="preserve">Claims Payment vs Expenses: 
</t>
    </r>
    <r>
      <rPr>
        <sz val="8"/>
        <color theme="1"/>
        <rFont val="Calibri"/>
        <family val="2"/>
        <scheme val="minor"/>
      </rPr>
      <t>System should allow claims handler to select the type of payment (claims/ expense payment) while making the payment on a particular claim
Expense payment are the payment made to all third party/ vendors for all the services utilised for settling the claim. System to give a drop down to select the payee in case the payee record is already existing in the system. System to allow to manually add payee in case payee is not specified in the system.
Ex: Payment tot investigator in China, Medical report, investigation fee, Payment to Medix etc.</t>
    </r>
  </si>
  <si>
    <r>
      <rPr>
        <b/>
        <sz val="8"/>
        <color theme="1"/>
        <rFont val="Calibri"/>
        <family val="2"/>
        <scheme val="minor"/>
      </rPr>
      <t xml:space="preserve">Closure of claim rules: </t>
    </r>
    <r>
      <rPr>
        <sz val="8"/>
        <color theme="1"/>
        <rFont val="Calibri"/>
        <family val="2"/>
        <scheme val="minor"/>
      </rPr>
      <t xml:space="preserve">
reserve to be zero
no pending documents 
No recovery reserve open
ODR box is not checked (if ODR is requested by the customer, system should not allow the claim assessor to close the claim and prompt a message to issue ODR and uncheck ODR first to close the claim
System to have override capabilities in case of any waver on any of the above rules with higher approval
Detailed closure rules to be finalised with the business in detail</t>
    </r>
  </si>
  <si>
    <r>
      <rPr>
        <b/>
        <sz val="8"/>
        <color rgb="FF000000"/>
        <rFont val="Calibri"/>
        <family val="2"/>
      </rPr>
      <t>Fraud Detection:</t>
    </r>
    <r>
      <rPr>
        <sz val="8"/>
        <color rgb="FF000000"/>
        <rFont val="Calibri"/>
        <family val="2"/>
      </rPr>
      <t xml:space="preserve">
Ability to configure business rules for fraud detection and their corresponding weightage. 
Ability to support fraud detection by flagging the claim once the fraud threshold is reached using pre-defined business rules to facilitate identification of fraudulent claims
These rules to rerun during course of claim handling / on receipt of additional documents / information 
System to have the flexibility to edit any of the rules/parameters and their corresponding weightage with admins access and without configuration
Business rules to be defend by the business
Refer Supporting Document for reference 
</t>
    </r>
  </si>
  <si>
    <r>
      <rPr>
        <b/>
        <sz val="8"/>
        <color theme="1"/>
        <rFont val="Calibri"/>
        <family val="2"/>
      </rPr>
      <t>Fraud Notification to external system:</t>
    </r>
    <r>
      <rPr>
        <sz val="8"/>
        <color theme="1"/>
        <rFont val="Calibri"/>
        <family val="2"/>
      </rPr>
      <t xml:space="preserve">
'Ability to send claim details to external fraud detection (if needed) tool if required. 
Claims system to have a referral functionality to assign the case to additional fraud management team expert.
System to alert the fraud management team in case there is a case assigned to the team/individual users</t>
    </r>
  </si>
  <si>
    <r>
      <rPr>
        <b/>
        <sz val="8"/>
        <color theme="1"/>
        <rFont val="Calibri"/>
        <family val="2"/>
      </rPr>
      <t xml:space="preserve">Fraud Assignment: </t>
    </r>
    <r>
      <rPr>
        <sz val="8"/>
        <color theme="1"/>
        <rFont val="Calibri"/>
        <family val="2"/>
      </rPr>
      <t xml:space="preserve">
'Ability to create alerts to fraud management team/ (internal/external)/ escalation within team once the fraud alert is triggered by the system
Parameters with in the business rules to be defend in a way that in case those parameters are met, the claim case to be directly referred to fraud management team immediately after registration
The Fraud management team to  have access to the claim in case of fraud handling team in separate team and uses different system</t>
    </r>
  </si>
  <si>
    <r>
      <rPr>
        <b/>
        <sz val="8"/>
        <color rgb="FF000000"/>
        <rFont val="Calibri"/>
        <family val="2"/>
      </rPr>
      <t xml:space="preserve">Fraud documents indexing: </t>
    </r>
    <r>
      <rPr>
        <sz val="8"/>
        <color rgb="FF000000"/>
        <rFont val="Calibri"/>
        <family val="2"/>
      </rPr>
      <t xml:space="preserve">'Ability to upload, store and index fraud related documents related to claim and link with claim system.
In case the external system is used to manage fraud investigation, system to be integrated with claims system to enable document upload, linkage and indexing
All fraud related document to be stored in a separate folder for easy retrieval for future reference.
System to also alert the claims handler for successive claims in case there was a fraud linked to his/her previous claims for detailed assessment
</t>
    </r>
  </si>
  <si>
    <r>
      <t xml:space="preserve">Establish recovery:
</t>
    </r>
    <r>
      <rPr>
        <sz val="8"/>
        <color rgb="FF000000"/>
        <rFont val="Calibri"/>
        <family val="2"/>
        <scheme val="minor"/>
      </rPr>
      <t>'Ability to indicate recovery opportunities on potential claims 
Ability to configure business rules to identify the recovery opportunity</t>
    </r>
    <r>
      <rPr>
        <b/>
        <sz val="8"/>
        <color rgb="FF000000"/>
        <rFont val="Calibri"/>
        <family val="2"/>
        <scheme val="minor"/>
      </rPr>
      <t xml:space="preserve">
Potential reason for recovery:
</t>
    </r>
    <r>
      <rPr>
        <sz val="8"/>
        <color rgb="FF000000"/>
        <rFont val="Calibri"/>
        <family val="2"/>
        <scheme val="minor"/>
      </rPr>
      <t>1. "Cause of loss is accident" and "third party at fault"
2. Reinsurance trigger
3. Coinsurance (multiple insurance with more that one organisation)</t>
    </r>
  </si>
  <si>
    <r>
      <rPr>
        <b/>
        <sz val="8"/>
        <color rgb="FF000000"/>
        <rFont val="Calibri"/>
        <family val="2"/>
        <scheme val="minor"/>
      </rPr>
      <t>Recovery Reserve:</t>
    </r>
    <r>
      <rPr>
        <sz val="8"/>
        <color rgb="FF000000"/>
        <rFont val="Calibri"/>
        <family val="2"/>
        <scheme val="minor"/>
      </rPr>
      <t xml:space="preserve">
Able to open a recovery reserve when even there is recovery involved basis recovery investigation and data assessment.
Recovery reserves to be manually created by the claims handlers for 1 and 3 potential reasons
Recovery reserves to be automatically created for point 2 (reinsurance)</t>
    </r>
  </si>
  <si>
    <r>
      <rPr>
        <b/>
        <sz val="8"/>
        <color rgb="FF000000"/>
        <rFont val="Calibri"/>
        <family val="2"/>
        <scheme val="minor"/>
      </rPr>
      <t xml:space="preserve">Recovery Document Management:
</t>
    </r>
    <r>
      <rPr>
        <sz val="8"/>
        <color rgb="FF000000"/>
        <rFont val="Calibri"/>
        <family val="2"/>
        <scheme val="minor"/>
      </rPr>
      <t xml:space="preserve">'Ability to upload, store and index recovery documents from other parties who are at fault into the claims system and it will be stored into a separate folder for easy identification later </t>
    </r>
  </si>
  <si>
    <t>Recovery Data Mgmt.</t>
  </si>
  <si>
    <r>
      <rPr>
        <b/>
        <sz val="8"/>
        <color rgb="FF000000"/>
        <rFont val="Calibri"/>
        <family val="2"/>
        <scheme val="minor"/>
      </rPr>
      <t xml:space="preserve">Recovery Data Management:
</t>
    </r>
    <r>
      <rPr>
        <sz val="8"/>
        <color rgb="FF000000"/>
        <rFont val="Calibri"/>
        <family val="2"/>
        <scheme val="minor"/>
      </rPr>
      <t xml:space="preserve">'Ability to store recovery data (e.g. recovery amount, fault percentage etc.) with breakdown of recovery amounts
</t>
    </r>
    <r>
      <rPr>
        <b/>
        <sz val="8"/>
        <color rgb="FF000000"/>
        <rFont val="Calibri"/>
        <family val="2"/>
        <scheme val="minor"/>
      </rPr>
      <t xml:space="preserve">
</t>
    </r>
    <r>
      <rPr>
        <sz val="8"/>
        <color rgb="FF000000"/>
        <rFont val="Calibri"/>
        <family val="2"/>
        <scheme val="minor"/>
      </rPr>
      <t xml:space="preserve">'Ability to manually update recovery information from the other party who is at fault (regardless of 100% or partial fault)
Generally Recovery triggers a negotiation and communication with third party / third party insurance companies. System to have separate screen to track the status of recovery process. 
All the fields to be identified and defined with business later (20) data fields </t>
    </r>
  </si>
  <si>
    <r>
      <rPr>
        <b/>
        <sz val="8"/>
        <rFont val="Calibri"/>
        <family val="2"/>
        <scheme val="minor"/>
      </rPr>
      <t>Profile, Group &amp; subgroups:</t>
    </r>
    <r>
      <rPr>
        <sz val="8"/>
        <rFont val="Calibri"/>
        <family val="2"/>
        <scheme val="minor"/>
      </rPr>
      <t xml:space="preserve"> 'Ability to define user profiles for internal (e.g. claims assessor, Claims approver, technical team, Provider management team, QC  etc.
'Ability to define profile based on 
Country
Business unit
Department - Claims, Policy Admin, Contact centre, Provider management, agency, member, insured etc.
Sub functions under department: Indexing, Admin team for data entry, claims handler, claims payment, Fraud, recovery etc.)
Profile will be linked to the group (authority and roles) that the individual can perform.
</t>
    </r>
    <r>
      <rPr>
        <b/>
        <sz val="8"/>
        <rFont val="Calibri"/>
        <family val="2"/>
        <scheme val="minor"/>
      </rPr>
      <t xml:space="preserve">
Groups:</t>
    </r>
    <r>
      <rPr>
        <sz val="8"/>
        <rFont val="Calibri"/>
        <family val="2"/>
        <scheme val="minor"/>
      </rPr>
      <t xml:space="preserve"> Each claims module tab/bottom ( Billing data entry, adjudication/adjustments/ SIU/ PM etc.) will be linked with the group. System should allow admin user to select and assign multiple groups to a particular user. Admits team would have a separate profile for them to make necessary  adjustments
</t>
    </r>
    <r>
      <rPr>
        <b/>
        <sz val="8"/>
        <rFont val="Calibri"/>
        <family val="2"/>
        <scheme val="minor"/>
      </rPr>
      <t>Sub Groups:</t>
    </r>
    <r>
      <rPr>
        <sz val="8"/>
        <rFont val="Calibri"/>
        <family val="2"/>
        <scheme val="minor"/>
      </rPr>
      <t xml:space="preserve"> Groups can be sub divided into sub groups for specialization. Ex. group can be divided into sub grouped basis the range of authority limits (0-5000, 5000- 10,000 etc.)
Need to define all the profiles that will be used and their corresponding roles and permissions with business later</t>
    </r>
  </si>
  <si>
    <t xml:space="preserve">YES - Admin data loader to be defined </t>
  </si>
  <si>
    <r>
      <rPr>
        <b/>
        <sz val="8"/>
        <rFont val="Calibri"/>
        <family val="2"/>
        <scheme val="minor"/>
      </rPr>
      <t xml:space="preserve">Print or attach additional documents:
</t>
    </r>
    <r>
      <rPr>
        <sz val="8"/>
        <rFont val="Calibri"/>
        <family val="2"/>
        <scheme val="minor"/>
      </rPr>
      <t xml:space="preserve">'Ability to generate and print digital claim file in pdf format for storage and / or to send to the insured, intermediary or third party. Data privacy and confidentiality to be considered when sending data to agent or vendor 
</t>
    </r>
    <r>
      <rPr>
        <b/>
        <sz val="8"/>
        <rFont val="Calibri"/>
        <family val="2"/>
        <scheme val="minor"/>
      </rPr>
      <t>Few reasons for additional documents:</t>
    </r>
    <r>
      <rPr>
        <sz val="8"/>
        <rFont val="Calibri"/>
        <family val="2"/>
        <scheme val="minor"/>
      </rPr>
      <t xml:space="preserve">
1. claims assessors for china - G policies
2. Reinsurer in case of rein trigger etc.
3. Questionnaire for  doctor for Medical report
4. Documents with Medix
Users to define all the forms/report (Claims details) to be shared with external party and system to auto populate the forms to be shared with users along with the set of documents  
System to have the flexibility to do per case processing of communication or batch processing of the correspondence
</t>
    </r>
    <r>
      <rPr>
        <b/>
        <sz val="8"/>
        <rFont val="Calibri"/>
        <family val="2"/>
        <scheme val="minor"/>
      </rPr>
      <t>claims enquiry:</t>
    </r>
    <r>
      <rPr>
        <sz val="8"/>
        <rFont val="Calibri"/>
        <family val="2"/>
        <scheme val="minor"/>
      </rPr>
      <t xml:space="preserve"> System to allow the call centre team to check the status of those pending clams and should allow them to see all the set of documents shared with the external party for further clarification </t>
    </r>
  </si>
  <si>
    <r>
      <rPr>
        <b/>
        <sz val="8"/>
        <rFont val="Calibri"/>
        <family val="2"/>
        <scheme val="minor"/>
      </rPr>
      <t>Activity Management:</t>
    </r>
    <r>
      <rPr>
        <sz val="8"/>
        <rFont val="Calibri"/>
        <family val="2"/>
        <scheme val="minor"/>
      </rPr>
      <t xml:space="preserve">
'Ability to generate, assign, view and update activities assigned to an individual user and a specific user profile
Ex. of reasons for activity generation:
1. Payment higher than the defined authority
2. Change of mode of payment for higher payments 
3. Involves litigation during the life cycle of claims
4. New fraud trigger after clams registration
5. Claims identified by system for OFR 
6. Clarification request/ approval from higher approver
7. approval for exgratia payment
System to keep a track on the list of activities that will be assigned to user profile/ per user.
Separate UI to be created in the system that will have all the activities that have been assigned to the users for their actions. 
List of activities to be complied at team level for TL to manage the aging and track on real time basis.
Activities to be automatically closed once the action has been taken on the activities or the users also have the flexibility to close the activities  manually </t>
    </r>
  </si>
  <si>
    <r>
      <rPr>
        <b/>
        <sz val="8"/>
        <rFont val="Calibri"/>
        <family val="2"/>
        <scheme val="minor"/>
      </rPr>
      <t xml:space="preserve">Activity reminders and escalation: </t>
    </r>
    <r>
      <rPr>
        <sz val="8"/>
        <rFont val="Calibri"/>
        <family val="2"/>
        <scheme val="minor"/>
      </rPr>
      <t xml:space="preserve">
Once activity is assigned to a user, if not actioned and closed, it will keep generating the reminders and the status will change from Green -&gt; Amber -&gt; Red with every reminder.
Activity to be escalated to Next level up in hierarchy in case the activity is turned red and not been closed. 
System to have the flexibility to generate a report basis the colour coding of activities for active management of pending cases/activities.
'Ability to escalate activities based on the pre-defined organization hierarchy.
Escalation of activities can be linked to reassignment of cases or can be restricted to highlight the additional party/user for tracking
Reasons and rules for escalation to be finalised with business and to be linked with user profile/ per user</t>
    </r>
  </si>
  <si>
    <r>
      <rPr>
        <b/>
        <sz val="8"/>
        <rFont val="Calibri"/>
        <family val="2"/>
        <scheme val="minor"/>
      </rPr>
      <t>Claims Archival:</t>
    </r>
    <r>
      <rPr>
        <sz val="8"/>
        <rFont val="Calibri"/>
        <family val="2"/>
        <scheme val="minor"/>
      </rPr>
      <t xml:space="preserve">
'Ability to archive claims file and its associated supporting documents. User is able to easily retrieve archived files and documents.
Archival rules to be defined by the business separately. 
Minimum claims data to be retained in the system for claims history and other claims related decisions for future claims. 
Minimum information to be finalised with the business later.
 </t>
    </r>
  </si>
  <si>
    <r>
      <rPr>
        <b/>
        <sz val="8"/>
        <rFont val="Calibri"/>
        <family val="2"/>
        <scheme val="minor"/>
      </rPr>
      <t xml:space="preserve">Preview &amp; Edit Documents: </t>
    </r>
    <r>
      <rPr>
        <sz val="8"/>
        <rFont val="Calibri"/>
        <family val="2"/>
        <scheme val="minor"/>
      </rPr>
      <t xml:space="preserve">
'Ability to select, preview and edit outgoing MCS/ MIMO etc. correspondences, letters or claims notes. The reasons for correspondence has been discussed during assessment. Most of the documents to have standard templates defined in the claims system along with some generic templates.
System to auto populate majority of the information from the system and allow the users to validate and edit any information before sending the corresponding out.
All the correspondence to be processed through the batch processing run overnight.</t>
    </r>
  </si>
  <si>
    <r>
      <rPr>
        <b/>
        <sz val="8"/>
        <rFont val="Calibri"/>
        <family val="2"/>
        <scheme val="minor"/>
      </rPr>
      <t>Document Indexing:</t>
    </r>
    <r>
      <rPr>
        <sz val="8"/>
        <rFont val="Calibri"/>
        <family val="2"/>
        <scheme val="minor"/>
      </rPr>
      <t xml:space="preserve"> 
Ability to maintain document checklist with receive date and time and other critical information that will help in identifying and archiving the docs 
System to display all the set of mandatory and non mandatory set of documents expected from the claimant. 
Claims handler to tick the document received and untick the document not received along with date of received (chop date) and time. 
System to automatically capture the date and time of requested document from the claimant for enquiry and reminder purposes and to be displayed in the document management screen.
Claims handlers to have the permission to wave certain documents (assess driven) in case of special request.
Enquiry Status: the document screen to be made available to contact centre for any claims document related query.</t>
    </r>
  </si>
  <si>
    <r>
      <rPr>
        <b/>
        <sz val="8"/>
        <rFont val="Calibri"/>
        <family val="2"/>
        <scheme val="minor"/>
      </rPr>
      <t>Claims Notes</t>
    </r>
    <r>
      <rPr>
        <sz val="8"/>
        <rFont val="Calibri"/>
        <family val="2"/>
        <scheme val="minor"/>
      </rPr>
      <t xml:space="preserve">: 
system to  allow claims handler to enter free text claims notes on the clam summary screen. The date and time to be automatically captured once the claims notes are submitted in the system.
Claims notes can be used as running diary that will also be made available to contact centre for any potential enquiry.
</t>
    </r>
    <r>
      <rPr>
        <b/>
        <sz val="8"/>
        <rFont val="Calibri"/>
        <family val="2"/>
        <scheme val="minor"/>
      </rPr>
      <t xml:space="preserve">
Deletion of claims notes:</t>
    </r>
    <r>
      <rPr>
        <sz val="8"/>
        <rFont val="Calibri"/>
        <family val="2"/>
        <scheme val="minor"/>
      </rPr>
      <t xml:space="preserve"> Claims notes can only be deleted by by group admin team as per the approval. Deleted notes to be retained in the system as deleted along with date &amp; time and who deleted
</t>
    </r>
    <r>
      <rPr>
        <b/>
        <sz val="8"/>
        <rFont val="Calibri"/>
        <family val="2"/>
        <scheme val="minor"/>
      </rPr>
      <t>Linking of Claims Notes:</t>
    </r>
    <r>
      <rPr>
        <sz val="8"/>
        <rFont val="Calibri"/>
        <family val="2"/>
        <scheme val="minor"/>
      </rPr>
      <t xml:space="preserve"> System to have flexibility to link the claim notes of any previously closed claims/ or any parallel open claim to the current claim for overall case management. Notes to appear in all the claims that have been linked for that particular notes
 </t>
    </r>
  </si>
  <si>
    <r>
      <rPr>
        <b/>
        <sz val="8"/>
        <rFont val="Calibri"/>
        <family val="2"/>
        <scheme val="minor"/>
      </rPr>
      <t xml:space="preserve">Vendor score: 
</t>
    </r>
    <r>
      <rPr>
        <sz val="8"/>
        <rFont val="Calibri"/>
        <family val="2"/>
        <scheme val="minor"/>
      </rPr>
      <t>System to have the UI to capture vendor score based on predefined parameters (speed, savings, charged fee -high/med/ low, quality/details of report etc.) 
'Ability to manually capture vendors score to facilitate investigator (china policy) performance reviews. 
System to aggregate the overall score  and should be able to differentiate the vendors basis the score  as part of the sourcing/preference strategy
'Ability to store and view historical data on transactions with investigators to show average and overall expenditure for a specific period
system to automatically propose the vendor and display all the information for correspondence of the vendor based on vendor score once the basis parameters  are selected for a particular claims (location, speciality etc.)</t>
    </r>
  </si>
  <si>
    <r>
      <rPr>
        <b/>
        <sz val="8"/>
        <rFont val="Calibri"/>
        <family val="2"/>
        <scheme val="minor"/>
      </rPr>
      <t>Vendor information:</t>
    </r>
    <r>
      <rPr>
        <sz val="8"/>
        <rFont val="Calibri"/>
        <family val="2"/>
        <scheme val="minor"/>
      </rPr>
      <t xml:space="preserve">
'Ability to store external investigator contact and payment information (e.g. address, phone number, person in charge, preferred/non preferred/ KPIs,account details etc..) for vendor appointment.
All the information related to vendor to be stored in Provider management module. 
Contract management of all the vendors can be explored for future enhancements.</t>
    </r>
  </si>
  <si>
    <r>
      <rPr>
        <b/>
        <sz val="8"/>
        <rFont val="Calibri"/>
        <family val="2"/>
        <scheme val="minor"/>
      </rPr>
      <t>Trigger ICF</t>
    </r>
    <r>
      <rPr>
        <sz val="8"/>
        <rFont val="Calibri"/>
        <family val="2"/>
        <scheme val="minor"/>
      </rPr>
      <t xml:space="preserve">: 
Ability to send instant customer feedback (ICF) at the moment of truth (e.g. enquiry resolution, claims payment etc.)
System to have the capability to send the ICF form via preferred channel to users (email, portal, App etc.)
CS Module of the claims portal should have standard feedback form to be sent to customer. CRM/TIPS system can be integrated with CRM in case the feedback to be sent through CRM
</t>
    </r>
    <r>
      <rPr>
        <b/>
        <sz val="8"/>
        <rFont val="Calibri"/>
        <family val="2"/>
        <scheme val="minor"/>
      </rPr>
      <t>Capture ICF: 
S</t>
    </r>
    <r>
      <rPr>
        <sz val="8"/>
        <rFont val="Calibri"/>
        <family val="2"/>
        <scheme val="minor"/>
      </rPr>
      <t>ystem to automatically updated the feedback in case the feedback is received from app/ portal for particular service.
Option to add manually the feedback once received from the customer.
System to flag the score of customer feedback while processing the claim in case of any previous feedback for better handling of customer case.</t>
    </r>
  </si>
  <si>
    <r>
      <rPr>
        <b/>
        <sz val="8"/>
        <rFont val="Calibri"/>
        <family val="2"/>
        <scheme val="minor"/>
      </rPr>
      <t>Complaint record:</t>
    </r>
    <r>
      <rPr>
        <sz val="8"/>
        <rFont val="Calibri"/>
        <family val="2"/>
        <scheme val="minor"/>
      </rPr>
      <t xml:space="preserve"> 'External complaint information (e.g. complaint ID, complaint management specific notes, date or complaint, reason of complaint/drop down list) can be captured and viewed in claim system at any point in time. System to be able to search any previous claims complaint made by claimant using particulars of the member/insured during claims assessment.
The Customer Service Module will allow user to define type of inquiries (incl. complaints) and aid CS rep to follow up outstanding cases, escalate, re-assign cases if necessary.
The system needs to be linked to the call centre system so that IVR can facilitate retrieval of info from the system.
</t>
    </r>
    <r>
      <rPr>
        <b/>
        <sz val="8"/>
        <rFont val="Calibri"/>
        <family val="2"/>
        <scheme val="minor"/>
      </rPr>
      <t>Complaint trigger:</t>
    </r>
    <r>
      <rPr>
        <sz val="8"/>
        <rFont val="Calibri"/>
        <family val="2"/>
        <scheme val="minor"/>
      </rPr>
      <t xml:space="preserve"> 
TIPS/complaint system to be integrated with claims portal.  
'System to trigger automatically in case the claimant/member has registered a complaint previously (in last 1 year) for special handling/attention 
</t>
    </r>
  </si>
  <si>
    <r>
      <t>A</t>
    </r>
    <r>
      <rPr>
        <b/>
        <sz val="8"/>
        <rFont val="Calibri"/>
        <family val="2"/>
        <scheme val="minor"/>
      </rPr>
      <t>utomatic Reminders on Activities:</t>
    </r>
    <r>
      <rPr>
        <sz val="8"/>
        <rFont val="Calibri"/>
        <family val="2"/>
        <scheme val="minor"/>
      </rPr>
      <t xml:space="preserve">
'Ability to configure  basic business rules to trigger activities defined in activity patterns
1. trigger an activity in case the claim is open for more than 7 days/ 15 days/30 days
2. Trigger the activity in case of requested document not received in a given period of time
3. clarification raised to internal department not closed in 3/5/7 days of time
4. claim is approved but in pending for payment with higher approver for more than 1 day.
system to have the flexibility for group admin team to change these trigger rules 
rules to be defined in details during detailed requirements</t>
    </r>
  </si>
  <si>
    <r>
      <rPr>
        <b/>
        <sz val="8"/>
        <rFont val="Calibri"/>
        <family val="2"/>
        <scheme val="minor"/>
      </rPr>
      <t xml:space="preserve">STP Rules Management: </t>
    </r>
    <r>
      <rPr>
        <sz val="8"/>
        <rFont val="Calibri"/>
        <family val="2"/>
        <scheme val="minor"/>
      </rPr>
      <t xml:space="preserve">
'Ability to turn on and off the STP, change business rules functionality without IT intervention. All the STP cases to be assigned to risk 0 profile and to a dummy user to better management of rules for STP. 
Authority Limit
Benefit Type
Plan Type
OP/IP claims
are some of the attributes to be finalised for STP risk profile which will be managed and modified without IT intervention</t>
    </r>
  </si>
  <si>
    <r>
      <rPr>
        <b/>
        <sz val="8"/>
        <rFont val="Calibri"/>
        <family val="2"/>
        <scheme val="minor"/>
      </rPr>
      <t xml:space="preserve">Active/Inactive (Dormant) Claims Management:
</t>
    </r>
    <r>
      <rPr>
        <sz val="8"/>
        <rFont val="Calibri"/>
        <family val="2"/>
        <scheme val="minor"/>
      </rPr>
      <t>System to give the flexibility for user to move the claim to dormant state instead of automatic closure after follow up for as per regulatory requirements (3 reminders etc.). Instead of closing the claim, claim handlers can move the claim to inactive/Dormant status to avoid rework in case the document is received late. 
This capability will help in monitoring the dormant case/pending  queue more actively where we have exhausted all the follow up protocols. 
System can be configured to automatically close inactive/ dormant cases as per batch.</t>
    </r>
    <r>
      <rPr>
        <b/>
        <sz val="8"/>
        <rFont val="Calibri"/>
        <family val="2"/>
        <scheme val="minor"/>
      </rPr>
      <t xml:space="preserve">
</t>
    </r>
  </si>
  <si>
    <r>
      <rPr>
        <b/>
        <sz val="8"/>
        <rFont val="Calibri"/>
        <family val="2"/>
        <scheme val="minor"/>
      </rPr>
      <t>Claims Status:</t>
    </r>
    <r>
      <rPr>
        <sz val="8"/>
        <rFont val="Calibri"/>
        <family val="2"/>
        <scheme val="minor"/>
      </rPr>
      <t xml:space="preserve"> 'Ability to configure business rules for updating the claims status for internal as well as external users. Three important parameters to be considered for any status communication:
</t>
    </r>
    <r>
      <rPr>
        <b/>
        <sz val="8"/>
        <rFont val="Calibri"/>
        <family val="2"/>
        <scheme val="minor"/>
      </rPr>
      <t>First:</t>
    </r>
    <r>
      <rPr>
        <sz val="8"/>
        <rFont val="Calibri"/>
        <family val="2"/>
        <scheme val="minor"/>
      </rPr>
      <t xml:space="preserve"> 
1a. The external users will view status on Provider portal/Customer Portal/Mobile apps/ AIA MyPage/intranet website etc.
1b. System to have he capability to generate the push notification  via email/ SMS
1c. Internal users: Contact centre: to log into the claim centre module to provide the online
</t>
    </r>
    <r>
      <rPr>
        <b/>
        <sz val="8"/>
        <rFont val="Calibri"/>
        <family val="2"/>
        <scheme val="minor"/>
      </rPr>
      <t xml:space="preserve">Second: 
</t>
    </r>
    <r>
      <rPr>
        <sz val="8"/>
        <rFont val="Calibri"/>
        <family val="2"/>
        <scheme val="minor"/>
      </rPr>
      <t xml:space="preserve">Need to define the attributes of status to be shared:
Registered, Under validation, Under investigation, Under medical review,
Pending original documents, Pending information, Approved, Declined
Pending for payment etc...
</t>
    </r>
    <r>
      <rPr>
        <b/>
        <sz val="8"/>
        <rFont val="Calibri"/>
        <family val="2"/>
        <scheme val="minor"/>
      </rPr>
      <t xml:space="preserve">Third: 
</t>
    </r>
    <r>
      <rPr>
        <sz val="8"/>
        <rFont val="Calibri"/>
        <family val="2"/>
        <scheme val="minor"/>
      </rPr>
      <t xml:space="preserve">What action during the claim life cycle will trigger the attributes defined under second.
</t>
    </r>
    <r>
      <rPr>
        <b/>
        <sz val="8"/>
        <rFont val="Calibri"/>
        <family val="2"/>
        <scheme val="minor"/>
      </rPr>
      <t xml:space="preserve">Ex. </t>
    </r>
    <r>
      <rPr>
        <sz val="8"/>
        <rFont val="Calibri"/>
        <family val="2"/>
        <scheme val="minor"/>
      </rPr>
      <t xml:space="preserve">
1. Registration status will be updated once we have the claim successfully registered in the claim system and is been assigned to a user.
2. 2 days after the claims registration will be under investigation until there is another status
3. Once the claim is pend for additional information than the status will turn to pending with reason code and description etc. 
Ability to Suppress claims status update on web portal / mobile apps for specific product/claim/policy etc. 
Detailed business rules for claims progress to be defined later</t>
    </r>
  </si>
  <si>
    <r>
      <rPr>
        <b/>
        <sz val="8"/>
        <rFont val="Calibri"/>
        <family val="2"/>
        <scheme val="minor"/>
      </rPr>
      <t xml:space="preserve">Dashboard Facility for Smooth Operation: 
</t>
    </r>
    <r>
      <rPr>
        <sz val="8"/>
        <rFont val="Calibri"/>
        <family val="2"/>
        <scheme val="minor"/>
      </rPr>
      <t xml:space="preserve">System to have standard dashboard facility/capability at various levels  individual/Team Leader/Team Manager/ Profile to run smooth &amp; proactive operations
dashboard to have the flexibility to include the time range to reflect the data for a period of time.  
Dashboard to have various attributes but not restricted to:  </t>
    </r>
    <r>
      <rPr>
        <b/>
        <sz val="8"/>
        <rFont val="Calibri"/>
        <family val="2"/>
        <scheme val="minor"/>
      </rPr>
      <t xml:space="preserve">
1. </t>
    </r>
    <r>
      <rPr>
        <sz val="8"/>
        <rFont val="Calibri"/>
        <family val="2"/>
        <scheme val="minor"/>
      </rPr>
      <t>Backlog (T+1, T+2, T+3, T+4, T+5, &gt;T+5 etc.
2. Turn around time for closed cases  (T+1, T+2, T+3, T+4, T+5, &gt;T+5, &gt;T+5 days)
3. Pending Aging
4. New Incoming indexed volume
5. Current workload per user with status (under investigation, pending information, approved but pending payment etc.)
6. Activity status (all open activities with RYG status)
User dashboard to be finalised later with business. Number of dashboards to be restricted to les than 10</t>
    </r>
  </si>
  <si>
    <r>
      <rPr>
        <b/>
        <sz val="8"/>
        <rFont val="Calibri"/>
        <family val="2"/>
        <scheme val="minor"/>
      </rPr>
      <t>Workload Assignment management:</t>
    </r>
    <r>
      <rPr>
        <sz val="8"/>
        <rFont val="Calibri"/>
        <family val="2"/>
        <scheme val="minor"/>
      </rPr>
      <t xml:space="preserve">
3 level of assignment:
1a. Assignment at group level based on risk profile of the claim. All the claims handlers can be assigned 1 or more than one risk profile groups.
1b. Once the incoming claim risk is identified, the corresponding risk profile group to be identified by system basis predefined rules for assignment purposes  
2. Once the risk profile group is identified system to assign the claims basis round robin fashion.
3. System to look for additional rules set up group admin before assigning the claims as per round robin:
3.1. Skip assignment in case person is on leave (indication to be made by TL)
3.2. Skip/jump every 2nd/3rd/4th assignment as indicated by TL based on workload or availability of any employee within the profile group.
exact rules to be defined later</t>
    </r>
  </si>
  <si>
    <r>
      <t xml:space="preserve">
</t>
    </r>
    <r>
      <rPr>
        <b/>
        <sz val="8"/>
        <rFont val="Calibri"/>
        <family val="2"/>
        <scheme val="minor"/>
      </rPr>
      <t xml:space="preserve">Support Closed File review/Open File Review: Refer to Program Reach for details
</t>
    </r>
    <r>
      <rPr>
        <sz val="8"/>
        <rFont val="Calibri"/>
        <family val="2"/>
        <scheme val="minor"/>
      </rPr>
      <t xml:space="preserve">System to have the functionality to generate a list of closed claims file based on the date range selected by the users for CFR/OFR. 
System to support score card based evaluation/audit once the case is been assigned for OFR/CRF/ System to generate a composite score for every case to be audited.
System to support batch selection based on predefined rules for CRF audit.
OFR case to be allocated to the users on daily/predefined rules.
List to be generated based on predefined rules on how to select the claims for QA ex.
</t>
    </r>
    <r>
      <rPr>
        <b/>
        <sz val="8"/>
        <rFont val="Calibri"/>
        <family val="2"/>
        <scheme val="minor"/>
      </rPr>
      <t xml:space="preserve">
</t>
    </r>
  </si>
  <si>
    <r>
      <rPr>
        <b/>
        <sz val="8"/>
        <rFont val="Calibri"/>
        <family val="2"/>
        <scheme val="minor"/>
      </rPr>
      <t xml:space="preserve">Claims audit tab (Claims file specific) </t>
    </r>
    <r>
      <rPr>
        <sz val="8"/>
        <rFont val="Calibri"/>
        <family val="2"/>
        <scheme val="minor"/>
      </rPr>
      <t xml:space="preserve">
System to capture all the changes made till date on a particular claim for any audit purposes. All the changes made should be captured along with the date and time. The activities that have to be captured is to be finalised by business later. Some of the example of activities are listed below: 
1. Any user other than assigned user viewed the claims file
2. Indexing Date
3. LOG issue date if any
4. Date of claims registration
5. Pending date for additional information
6. date of Litigation involved
7. Date of assignment to external or internal referral 
8. Assessment approval date
9. Payment date etc. </t>
    </r>
  </si>
  <si>
    <r>
      <rPr>
        <b/>
        <sz val="8"/>
        <rFont val="Calibri"/>
        <family val="2"/>
        <scheme val="minor"/>
      </rPr>
      <t xml:space="preserve">Audit track (User specific): </t>
    </r>
    <r>
      <rPr>
        <sz val="8"/>
        <rFont val="Calibri"/>
        <family val="2"/>
        <scheme val="minor"/>
      </rPr>
      <t xml:space="preserve">
'Ability to view audit trail in system for business admin changes. The access to view these audit changes ais permission driver and restricted.
E.g. 
Authorization limit changes,
 Role changes 
Group Change
Profile Change 
All parameters to be finalised later</t>
    </r>
  </si>
  <si>
    <t>Contact centre</t>
  </si>
  <si>
    <r>
      <rPr>
        <b/>
        <sz val="8"/>
        <rFont val="Calibri"/>
        <family val="2"/>
        <scheme val="minor"/>
      </rPr>
      <t xml:space="preserve">Serious Claims Reporting: </t>
    </r>
    <r>
      <rPr>
        <sz val="8"/>
        <rFont val="Calibri"/>
        <family val="2"/>
        <scheme val="minor"/>
      </rPr>
      <t>System to have the capability to automatically generate SCR on basis predefined rules in a defined dashboard format. It is a quarterly report but can be triggered on adhoc basis. 
Currently there are 4 scenarios eligible for SCR: 
1. large Amount (Claims payable amount)
2. AIDS (Diagnosis Amount)
3. Fraud (Fraud Score and confirmation of fraud - decline payment)
4. Legal (involved litigation)
four LOBs under scope for SCR: IC, A&amp;H, CS &amp; Personal Lines.
Rules to be defined later</t>
    </r>
  </si>
  <si>
    <r>
      <rPr>
        <b/>
        <sz val="8"/>
        <rFont val="Calibri"/>
        <family val="2"/>
        <scheme val="minor"/>
      </rPr>
      <t xml:space="preserve">Reporting: </t>
    </r>
    <r>
      <rPr>
        <sz val="8"/>
        <rFont val="Calibri"/>
        <family val="2"/>
        <scheme val="minor"/>
      </rPr>
      <t xml:space="preserve">
'Ability to support reporting based on the key data captured during the claims processing. There are 50+ exports identified by the users across countries as per the attached.
Detailed data requirements of these reports to be discussed later
</t>
    </r>
    <r>
      <rPr>
        <sz val="8"/>
        <color rgb="FFFF0000"/>
        <rFont val="Calibri"/>
        <family val="2"/>
        <scheme val="minor"/>
      </rPr>
      <t>refer to Supporting document for more details</t>
    </r>
  </si>
  <si>
    <r>
      <rPr>
        <b/>
        <sz val="8"/>
        <rFont val="Calibri"/>
        <family val="2"/>
        <scheme val="minor"/>
      </rPr>
      <t xml:space="preserve">Dashboard: </t>
    </r>
    <r>
      <rPr>
        <sz val="8"/>
        <rFont val="Calibri"/>
        <family val="2"/>
        <scheme val="minor"/>
      </rPr>
      <t xml:space="preserve">
'Ability to support Key Operational dashboards for smooth running of the operations.  There are 12 dashboards identified by the users across countries as per the attached.
Detailed data requirements of these reports to be discussed later
</t>
    </r>
    <r>
      <rPr>
        <sz val="8"/>
        <color rgb="FFFF0000"/>
        <rFont val="Calibri"/>
        <family val="2"/>
        <scheme val="minor"/>
      </rPr>
      <t>refer to Supporting document for more details</t>
    </r>
  </si>
  <si>
    <r>
      <rPr>
        <b/>
        <sz val="8"/>
        <rFont val="Calibri"/>
        <family val="2"/>
        <scheme val="minor"/>
      </rPr>
      <t xml:space="preserve">Validation/reason Codes: </t>
    </r>
    <r>
      <rPr>
        <sz val="8"/>
        <rFont val="Calibri"/>
        <family val="2"/>
        <scheme val="minor"/>
      </rPr>
      <t xml:space="preserve">
'System to support various predefined standard/ non standard validation/reason rules.
Any validation performed by the system to be driven by set of codes. Standard codes to be used as a drop down list for related to medical information as defined in the supporting documents. 
Various predefined system reason codes to be made available to the users for their manual /Automatic selection.
</t>
    </r>
    <r>
      <rPr>
        <sz val="8"/>
        <color rgb="FFFF0000"/>
        <rFont val="Calibri"/>
        <family val="2"/>
        <scheme val="minor"/>
      </rPr>
      <t>refer to Supporting document for more details</t>
    </r>
  </si>
  <si>
    <r>
      <rPr>
        <b/>
        <sz val="8"/>
        <rFont val="Calibri"/>
        <family val="2"/>
        <scheme val="minor"/>
      </rPr>
      <t xml:space="preserve">Knowledge Base Reference: </t>
    </r>
    <r>
      <rPr>
        <sz val="8"/>
        <rFont val="Calibri"/>
        <family val="2"/>
        <scheme val="minor"/>
      </rPr>
      <t xml:space="preserve">
System to be able to support Key data and documents for Users reference.  The documents to be saved in an index format for users to easily retrieve the data for any case scenario.
- Clinical guidelines 
- Reimbursement guidelines 
- Assessment questionnaire
- Case study / library
- Product guide
- Policy contract
- System manual
</t>
    </r>
  </si>
  <si>
    <t>Work plan / Activity Desktop</t>
  </si>
  <si>
    <r>
      <rPr>
        <b/>
        <sz val="8"/>
        <rFont val="Calibri"/>
        <family val="2"/>
        <scheme val="minor"/>
      </rPr>
      <t xml:space="preserve">Update Reserve:
</t>
    </r>
    <r>
      <rPr>
        <sz val="8"/>
        <rFont val="Calibri"/>
        <family val="2"/>
        <scheme val="minor"/>
      </rPr>
      <t>Initial reserve is already discussed in claims submission. Initial reserve before registration to be equal to presented amount. 
'Ability to automatically calculate adjust the  reserve amount based on the eligible/payable amount after registration. 
System to automatically adjust the reserve in case of  partial payment. The revised reserve to be reduced equivalent to the partial payment amount.
System to automatically reduce the reserve amount to zero is the payment is full and final payment.</t>
    </r>
  </si>
  <si>
    <r>
      <rPr>
        <b/>
        <sz val="8"/>
        <color rgb="FF000000"/>
        <rFont val="Calibri"/>
        <family val="2"/>
      </rPr>
      <t xml:space="preserve">Benefit Set up/ Payment Method: </t>
    </r>
    <r>
      <rPr>
        <sz val="8"/>
        <color rgb="FF000000"/>
        <rFont val="Calibri"/>
        <family val="2"/>
      </rPr>
      <t xml:space="preserve">
Purpose of benefit set up is to allow system to analyse the maximum payable amounts eligible under the selected policy/s. System to support the benefit structure to support the auto adjudication process as per below:
</t>
    </r>
    <r>
      <rPr>
        <b/>
        <sz val="8"/>
        <color rgb="FF000000"/>
        <rFont val="Calibri"/>
        <family val="2"/>
      </rPr>
      <t>- Service Number</t>
    </r>
    <r>
      <rPr>
        <sz val="8"/>
        <color rgb="FF000000"/>
        <rFont val="Calibri"/>
        <family val="2"/>
      </rPr>
      <t>: System to allow users to create service numbers based on the rational grouping of specialities. Multiple specialities can be grouped under a unique service number. there is a N: N relationship between Service number and Speciality. Once the speciality is selected by the claims handler, all the corresponding service numbers relevant to the speciality will apply and system to apply the automatic benefits based on predefined priority rules to give maximum benefits to insured
-</t>
    </r>
    <r>
      <rPr>
        <b/>
        <sz val="8"/>
        <color rgb="FF000000"/>
        <rFont val="Calibri"/>
        <family val="2"/>
      </rPr>
      <t xml:space="preserve"> Speciality</t>
    </r>
    <r>
      <rPr>
        <sz val="8"/>
        <color rgb="FF000000"/>
        <rFont val="Calibri"/>
        <family val="2"/>
      </rPr>
      <t>: Speciality to be selected automatically once the provider ID, Location ID and Doctor ID is selected.  One Doctor can have more than one specialty, system to select by default the primary speciality and should give an option to select the secondary one manually. 
             1 - GP
             2 - SP (Type)
             3 - Dentist etc.
 -</t>
    </r>
    <r>
      <rPr>
        <b/>
        <sz val="8"/>
        <color rgb="FF000000"/>
        <rFont val="Calibri"/>
        <family val="2"/>
      </rPr>
      <t xml:space="preserve"> Place of Service (Claims handler to manually enter) </t>
    </r>
    <r>
      <rPr>
        <sz val="8"/>
        <color rgb="FF000000"/>
        <rFont val="Calibri"/>
        <family val="2"/>
      </rPr>
      <t xml:space="preserve">
            IP/OP
            OP - Hospital - ER
            IP - Hospital - General ward
                 - Semi Private 
                 - Private etc. 
</t>
    </r>
    <r>
      <rPr>
        <b/>
        <sz val="8"/>
        <color rgb="FF000000"/>
        <rFont val="Calibri"/>
        <family val="2"/>
      </rPr>
      <t xml:space="preserve">- Procedure Code (to be entered Manually)  </t>
    </r>
    <r>
      <rPr>
        <sz val="8"/>
        <color rgb="FF000000"/>
        <rFont val="Calibri"/>
        <family val="2"/>
      </rPr>
      <t xml:space="preserve">
          P - Procedure
          D - Dental 
           L - Lab
           D - Drugs
</t>
    </r>
    <r>
      <rPr>
        <b/>
        <sz val="8"/>
        <color rgb="FF000000"/>
        <rFont val="Calibri"/>
        <family val="2"/>
      </rPr>
      <t>- Diagnosis Code</t>
    </r>
    <r>
      <rPr>
        <sz val="8"/>
        <color rgb="FF000000"/>
        <rFont val="Calibri"/>
        <family val="2"/>
      </rPr>
      <t xml:space="preserve"> 
</t>
    </r>
    <r>
      <rPr>
        <sz val="8"/>
        <color rgb="FFFF0000"/>
        <rFont val="Calibri"/>
        <family val="2"/>
      </rPr>
      <t>Refer to supporting Document</t>
    </r>
  </si>
  <si>
    <t>Medisave</t>
  </si>
  <si>
    <r>
      <rPr>
        <b/>
        <sz val="8"/>
        <color rgb="FF000000"/>
        <rFont val="Calibri"/>
        <family val="2"/>
      </rPr>
      <t xml:space="preserve">Automatic Indication of ASO and Policy arrangement information : </t>
    </r>
    <r>
      <rPr>
        <sz val="8"/>
        <color rgb="FF000000"/>
        <rFont val="Calibri"/>
        <family val="2"/>
      </rPr>
      <t xml:space="preserve">
System to have the capability to automatically indicate the ASO arrangement once claim is registered based on predefined parameters at policy/Plan/product level.
System to also display the ASO arrangement (percentage share/ full reimbursement etc.). system to retrieve this information from PAS.
System to also retrieve the service fee information as per the agreement with policy holder from PAS
</t>
    </r>
  </si>
  <si>
    <r>
      <rPr>
        <b/>
        <sz val="8"/>
        <color rgb="FF000000"/>
        <rFont val="Calibri"/>
        <family val="2"/>
      </rPr>
      <t>Medisave validation Workflow:</t>
    </r>
    <r>
      <rPr>
        <sz val="8"/>
        <color rgb="FF000000"/>
        <rFont val="Calibri"/>
        <family val="2"/>
      </rPr>
      <t xml:space="preserve">
System to automatically create the data file (predefind format) to be shared with CPF board for their validation. The file to have following data pertaining to every claim that has been settled with CPF Payment amount.
System to allow users to select the time frame for which the data file is be generated. data file to have following set of claims to be incorporated in the report.
1. All Claims closed during the seleted time period
2. System to pick only the final position of claim payment to avoid multiple line items for same claim number in case of any adjustment made for a claim befroe generating the data file. 
3. To include the claims closed prior to the selected period but got adjusted during the selected period due to CPF board rejection. 
In summary all the claims to be pulled for data file reporting where there is change/impact on CPF board payment amount.
</t>
    </r>
    <r>
      <rPr>
        <b/>
        <sz val="8"/>
        <color rgb="FF000000"/>
        <rFont val="Calibri"/>
        <family val="2"/>
      </rPr>
      <t/>
    </r>
  </si>
  <si>
    <t>HLBR_PM_28</t>
  </si>
  <si>
    <r>
      <rPr>
        <b/>
        <sz val="8"/>
        <color theme="1"/>
        <rFont val="Calibri"/>
        <family val="2"/>
      </rPr>
      <t>Update/manage  Reserve:</t>
    </r>
    <r>
      <rPr>
        <sz val="8"/>
        <color rgb="FF000000"/>
        <rFont val="Calibri"/>
        <family val="2"/>
      </rPr>
      <t xml:space="preserve">
'Ability to automatically record reserve once the claim is registered in the system. To maintain track of reserve change during  life cycle and even post closure of claim (Applicable for both Major and Minor Claims)
1. Change of reserve in case of change in LOS, pre indicated by providers as they are expecting to increase length of stay and seek for revised LOG
2. Automatically create reserve once the PA/LOG/PN is issued to the provider/member and in case the presented amount is higher/lower than the LOG amount the reserve to be automatically adjusted as per the presented amount during claims registration
3. To set the reserve to zero once the final payment is made 
4. Appeal cases: Claims case to be reopened and reserve to be automatically reversed to an amount equal to (original Presented amount - already paid amount)
Point 4 to be discussed in detail to decide the revised reserve criterion</t>
    </r>
  </si>
  <si>
    <r>
      <rPr>
        <b/>
        <sz val="8"/>
        <color rgb="FF000000"/>
        <rFont val="Calibri"/>
        <family val="2"/>
      </rPr>
      <t>Auto assessment: % Allocation (Advance payment) for CI</t>
    </r>
    <r>
      <rPr>
        <sz val="8"/>
        <color rgb="FF000000"/>
        <rFont val="Calibri"/>
        <family val="2"/>
      </rPr>
      <t xml:space="preserve">
Claims system to capture the %age allocation of amount to be paid basis product/Plan type, procedure/diagnosis code, corresponding percentage in policy schedule/contractual amount and should appropriate the amount for per life limit.
Sum Insured to be reduced by the advance amount paid once the advance payment is made.
system to validate the waiting period if any attached to the policy and should block the payment with a message that memebr policy is under waiting period
System to validate the survival period (policy dependent) before actual payment
Business rules (build table for rules) to be defined later </t>
    </r>
  </si>
  <si>
    <r>
      <rPr>
        <b/>
        <sz val="8"/>
        <color rgb="FF000000"/>
        <rFont val="Calibri"/>
        <family val="2"/>
      </rPr>
      <t>Policy History/ Display:</t>
    </r>
    <r>
      <rPr>
        <sz val="8"/>
        <color rgb="FF000000"/>
        <rFont val="Calibri"/>
        <family val="2"/>
      </rPr>
      <t xml:space="preserve">
System to have the ability to show all the active and terminated policies for a particular member  (including terminated policies). System to by default retrieve both IL and CS policies from different PAS system and display it in the tabular format. 
System to also give the flexibilty to for claims handler to put a date range to refine or expand the list. 
System to also allow claims handlers to select policies (active only/ terminated only/ munual multiple selection) for selective view.  </t>
    </r>
  </si>
  <si>
    <r>
      <rPr>
        <b/>
        <sz val="8"/>
        <color rgb="FF000000"/>
        <rFont val="Calibri"/>
        <family val="2"/>
      </rPr>
      <t>Claims Assignment(Program Reach):</t>
    </r>
    <r>
      <rPr>
        <sz val="8"/>
        <color rgb="FF000000"/>
        <rFont val="Calibri"/>
        <family val="2"/>
      </rPr>
      <t xml:space="preserve"> 
2 level of claims assignment
1. system to automatically assign the case to the right user group as per the claims risk rating and assigned group rating. 
2. System to automatically assign the cases to individual users within the group as per round robin mechanism.  
All the STP cases to be assigned to dummy users (if required) to enable reporting and audit functionalities.
System to assign the new case to same claims handler in case there is a claim open for the same member/ insured with in the same group
Details of the user groups, risk profiles are to be defined in detailed with Business
</t>
    </r>
  </si>
  <si>
    <t>HLBR_FNOL_24</t>
  </si>
  <si>
    <r>
      <rPr>
        <b/>
        <sz val="8"/>
        <rFont val="Calibri"/>
        <family val="2"/>
      </rPr>
      <t xml:space="preserve">Proximity check: </t>
    </r>
    <r>
      <rPr>
        <sz val="8"/>
        <rFont val="Calibri"/>
        <family val="2"/>
      </rPr>
      <t xml:space="preserve"> System to automatically identify in case the incurred date is closure to policy effective date for close proximity check.
</t>
    </r>
    <r>
      <rPr>
        <b/>
        <sz val="8"/>
        <rFont val="Calibri"/>
        <family val="2"/>
      </rPr>
      <t>Waiting Period</t>
    </r>
    <r>
      <rPr>
        <sz val="8"/>
        <rFont val="Calibri"/>
        <family val="2"/>
      </rPr>
      <t xml:space="preserve">: System to flag (window popup) in case policy is within the waiting period (e.g.: Life product HK IL : waiting period is 6 months between effective date and start date of the event)
System to assign the complexity score for correct assignment in case there is a flag for Proximity and waiting period.  
Proximity check and waiting period rules are specific to products/ LOB/Country and to be defined later
'Ability to notify underwriting department if the loss date/incurred date is close to policy effective date(close proximity check).
</t>
    </r>
  </si>
  <si>
    <t>HLBR_Reg_00016</t>
  </si>
  <si>
    <t>HLBR_Reg_00017</t>
  </si>
  <si>
    <r>
      <rPr>
        <b/>
        <sz val="8"/>
        <color rgb="FF000000"/>
        <rFont val="Calibri"/>
        <family val="2"/>
      </rPr>
      <t xml:space="preserve">Client Merge for claim record: </t>
    </r>
    <r>
      <rPr>
        <sz val="8"/>
        <color rgb="FF000000"/>
        <rFont val="Calibri"/>
        <family val="2"/>
      </rPr>
      <t xml:space="preserve">System should have the capability to merge the client ID in case the member has multiple policies with different Client ID. System should allow claim handlers to link multiple policies with different client ID for coordination of benefits and pay for all the policies under one claim record. 
Search criteria to be defined to identify all the active policies with combination of unique parameters (eg. HKID, DOB, Gender, name etc.).
Once all the policies are identified and displayed, system to allow claims handler to link multiple policies under one claim record
</t>
    </r>
    <r>
      <rPr>
        <sz val="8"/>
        <color rgb="FFFF0000"/>
        <rFont val="Calibri"/>
        <family val="2"/>
      </rPr>
      <t>Do we need to clean up the client record one time and make the system unique per client ID. Ideally, there should be unique client ID for all the policies for same insured (Need to discuss this with U/W team) for making the payment</t>
    </r>
  </si>
  <si>
    <t>HLBR_Gen_0035</t>
  </si>
  <si>
    <t>Policy Setup</t>
  </si>
  <si>
    <r>
      <rPr>
        <b/>
        <sz val="8"/>
        <color theme="1"/>
        <rFont val="Calibri"/>
        <family val="2"/>
        <scheme val="minor"/>
      </rPr>
      <t xml:space="preserve">Contract Management: Early Termination 
</t>
    </r>
    <r>
      <rPr>
        <sz val="8"/>
        <color theme="1"/>
        <rFont val="Calibri"/>
        <family val="2"/>
        <scheme val="minor"/>
      </rPr>
      <t xml:space="preserve"> - Either AIA or provider initiate contract termination,  provider is required to submit written notification to AIA by email or letter,  request for termination is created PM's movement functions in PM after the receipt of termination request from provider or intiated by PM team due to unsatisfy performance, or customer complaint, non compliance issue etc.   A job is created and allocated to work quene of assigned PM staff.  PM review termination request subject to contract T&amp;C.  Status notification is sent to provider,  request received, pending for review, accepted or declined.
- PM staff issue termination letter to provider if the termination is initiated by AIA.                                                                             - Termination date is udpated by PM staff after the termination is confirme</t>
    </r>
  </si>
  <si>
    <t>HLBR_PM_29</t>
  </si>
  <si>
    <r>
      <rPr>
        <b/>
        <sz val="8"/>
        <rFont val="Calibri"/>
        <family val="2"/>
      </rPr>
      <t xml:space="preserve">Prior Approval (Stack approval of LOGs to CS Policy holders):
</t>
    </r>
    <r>
      <rPr>
        <sz val="8"/>
        <rFont val="Calibri"/>
        <family val="2"/>
      </rPr>
      <t>All the LOGs to be issues through claims system with a unique number for all the LOGs. Since these LOGs are assigned to policy holders than to individual members, these should not have any impact on the reserves. 
System to have a track of allthe LOGs issued to policy holders and should be able to close the LOG once a particular LOG is utilised  by any of the member.</t>
    </r>
  </si>
  <si>
    <r>
      <rPr>
        <b/>
        <sz val="8"/>
        <rFont val="Calibri"/>
        <family val="2"/>
      </rPr>
      <t xml:space="preserve">Claims History: </t>
    </r>
    <r>
      <rPr>
        <sz val="8"/>
        <rFont val="Calibri"/>
        <family val="2"/>
      </rPr>
      <t xml:space="preserve">
Ability to view claims detail/ Summary (including previous claim details) and claims history associated to the policy number during new claim registration
System to show the previous claims history ( with key details in table format) for all policies/active policy. System to give the flexibility to claims handlers to sort/filter the claims history with dates/time frame 
System to allow claim handlers to click on any of the claim history for any previous claim from the list and system to take the user to claim screen of that claim. Claims handler to have view access of any claim appearing in the claims history list.
Claim summary/details to be defined later by the users  </t>
    </r>
  </si>
  <si>
    <r>
      <rPr>
        <b/>
        <sz val="8"/>
        <color rgb="FF000000"/>
        <rFont val="Calibri"/>
        <family val="2"/>
      </rPr>
      <t>Assessment Calculation (EDI):</t>
    </r>
    <r>
      <rPr>
        <sz val="8"/>
        <color rgb="FF000000"/>
        <rFont val="Calibri"/>
        <family val="2"/>
      </rPr>
      <t xml:space="preserve"> 
System to have the capabilities to do the bulk upload of EDI file/Excel file with a predefined format (usually excel but not restricted to)  into the system. 
</t>
    </r>
    <r>
      <rPr>
        <b/>
        <sz val="8"/>
        <color rgb="FF000000"/>
        <rFont val="Calibri"/>
        <family val="2"/>
      </rPr>
      <t xml:space="preserve">Auto registration: </t>
    </r>
    <r>
      <rPr>
        <sz val="8"/>
        <color rgb="FF000000"/>
        <rFont val="Calibri"/>
        <family val="2"/>
      </rPr>
      <t xml:space="preserve">Once the EDI file is updated on the claims system, system to have check for auto registration basis the mandatory data field mapping. System to generate the report in the same format with the exception and the reason for rejection for the users to flow up with panel clinic for additional information. 
</t>
    </r>
    <r>
      <rPr>
        <b/>
        <sz val="8"/>
        <color rgb="FF000000"/>
        <rFont val="Calibri"/>
        <family val="2"/>
      </rPr>
      <t>Auto assessment</t>
    </r>
    <r>
      <rPr>
        <sz val="8"/>
        <color rgb="FF000000"/>
        <rFont val="Calibri"/>
        <family val="2"/>
      </rPr>
      <t xml:space="preserve">: System to automatically run the auto assessment rules to proceed for the payment.  system to automatically identify the risk score  for every individual claim and assign it to claims handler in case the risk score for a particular claim is high. 
</t>
    </r>
    <r>
      <rPr>
        <b/>
        <sz val="8"/>
        <color rgb="FF000000"/>
        <rFont val="Calibri"/>
        <family val="2"/>
      </rPr>
      <t xml:space="preserve">Auto assessment reporting: </t>
    </r>
    <r>
      <rPr>
        <sz val="8"/>
        <color rgb="FF000000"/>
        <rFont val="Calibri"/>
        <family val="2"/>
      </rPr>
      <t xml:space="preserve">System to generate a report the number of cases STPs vs assigned to claims handlers for manual assessment.
System to retain the batch ID number can be mapped back to transaction number for reconciliation and traceability, once the response is received for the provider in the pending cases (rejected during registration) system to reconcile once all the claims has been successfully registered in the system and generate a final report of total uploaded vs total registered using the same batch ID of EDI file. 
</t>
    </r>
  </si>
  <si>
    <r>
      <rPr>
        <b/>
        <sz val="8"/>
        <color rgb="FF000000"/>
        <rFont val="Calibri"/>
        <family val="2"/>
      </rPr>
      <t xml:space="preserve">Diagnosis Codes </t>
    </r>
    <r>
      <rPr>
        <sz val="8"/>
        <color rgb="FF000000"/>
        <rFont val="Calibri"/>
        <family val="2"/>
      </rPr>
      <t>: Claims system to support standard codes that will enable various validation rules. Claims system to support 4 codes as below:
Diagnosis codes: ICD 10 
Treatment code: CPT
Lab test code:  to be created at group level
Drugs Code: to be created at group level</t>
    </r>
    <r>
      <rPr>
        <b/>
        <sz val="8"/>
        <color rgb="FF000000"/>
        <rFont val="Calibri"/>
        <family val="2"/>
      </rPr>
      <t xml:space="preserve">
I</t>
    </r>
    <r>
      <rPr>
        <sz val="8"/>
        <color rgb="FF000000"/>
        <rFont val="Calibri"/>
        <family val="2"/>
      </rPr>
      <t>n case current team is using different diagnosis codes, system to support the mapping rules between AIA codes and ICD codes.
Business rules/mapping table to be defined later
All the codes to enable better fraud management. System to support fraud management rules basis the predefined rules (to be defined later)</t>
    </r>
  </si>
  <si>
    <r>
      <rPr>
        <b/>
        <sz val="8"/>
        <rFont val="Calibri"/>
        <family val="2"/>
      </rPr>
      <t>External Investigator (HK Specific):</t>
    </r>
    <r>
      <rPr>
        <sz val="8"/>
        <rFont val="Calibri"/>
        <family val="2"/>
      </rPr>
      <t xml:space="preserve"> 'System to be able to trigger if any external investigator is required based on pre defined rules (ex. China G Policy etc.)
Ability to share all corresponding documents to the investigator through claims portal
Ability to rate the investigator basis past history (rules to be defined in other section)
Once the case is assigned to investigator, system should generate an activity trigger to let the claim handlers know the delay in response.  
</t>
    </r>
    <r>
      <rPr>
        <b/>
        <sz val="8"/>
        <rFont val="Calibri"/>
        <family val="2"/>
      </rPr>
      <t xml:space="preserve">External TPA (SG Specific):
</t>
    </r>
    <r>
      <rPr>
        <sz val="8"/>
        <rFont val="Calibri"/>
        <family val="2"/>
      </rPr>
      <t xml:space="preserve">System to have the capability to identify the claims to be routed to TPA based on predeifnd rules (Non Network Claims for a CS policy). System to be able to share the documents once identified with the TPAs </t>
    </r>
  </si>
  <si>
    <r>
      <rPr>
        <b/>
        <sz val="8"/>
        <color rgb="FF000000"/>
        <rFont val="Calibri"/>
        <family val="2"/>
      </rPr>
      <t xml:space="preserve">Pend Claims (External): </t>
    </r>
    <r>
      <rPr>
        <sz val="8"/>
        <color rgb="FF000000"/>
        <rFont val="Calibri"/>
        <family val="2"/>
      </rPr>
      <t xml:space="preserve">CH should be able to tag the claim with right pending reason and code and system to automatically select the recipient and preferred mode of communication in case of external routing (system should be able to send communication to external parties:
1. Pending for further information 
2. Outstanding shortfall 
3. Excessive charge
4. Excessive LOS
5. Inappropriate treatment 
6. Medical report 
7. Unclear Claims form
8: Missing Signature 
9. Policy Pending renewal etc.
</t>
    </r>
    <r>
      <rPr>
        <b/>
        <sz val="8"/>
        <color rgb="FF000000"/>
        <rFont val="Calibri"/>
        <family val="2"/>
      </rPr>
      <t xml:space="preserve">P.S.: </t>
    </r>
    <r>
      <rPr>
        <sz val="8"/>
        <color rgb="FF000000"/>
        <rFont val="Calibri"/>
        <family val="2"/>
      </rPr>
      <t>All the detailed codes are defined separately</t>
    </r>
  </si>
  <si>
    <r>
      <rPr>
        <b/>
        <sz val="8"/>
        <color rgb="FF000000"/>
        <rFont val="Calibri"/>
        <family val="2"/>
      </rPr>
      <t>COB</t>
    </r>
    <r>
      <rPr>
        <sz val="8"/>
        <color rgb="FF000000"/>
        <rFont val="Calibri"/>
        <family val="2"/>
      </rPr>
      <t xml:space="preserve">: 
</t>
    </r>
    <r>
      <rPr>
        <b/>
        <sz val="8"/>
        <color rgb="FF000000"/>
        <rFont val="Calibri"/>
        <family val="2"/>
      </rPr>
      <t>Sequencing of policies for maximizing the benefits</t>
    </r>
    <r>
      <rPr>
        <sz val="8"/>
        <color rgb="FF000000"/>
        <rFont val="Calibri"/>
        <family val="2"/>
      </rPr>
      <t xml:space="preserve">:  System should be able to automatically select the right sequence of policy that will give maximum benefit amount to member. Eligible policies have already been selected at the time of claims registration. Claims handler will have the flexibility to link/delink any of the policy selected earlier during registration. 
System to give a flexibility for claims handler to change the sequence.The sequencing of policies for benefit calculation to be decided by local business units
Possible scenarios to be considered for sequencing:
</t>
    </r>
    <r>
      <rPr>
        <b/>
        <sz val="8"/>
        <color rgb="FF000000"/>
        <rFont val="Calibri"/>
        <family val="2"/>
      </rPr>
      <t>Multiple IL policie</t>
    </r>
    <r>
      <rPr>
        <sz val="8"/>
        <color rgb="FF000000"/>
        <rFont val="Calibri"/>
        <family val="2"/>
      </rPr>
      <t>s :</t>
    </r>
    <r>
      <rPr>
        <b/>
        <sz val="8"/>
        <color rgb="FF000000"/>
        <rFont val="Calibri"/>
        <family val="2"/>
      </rPr>
      <t xml:space="preserve">
Individual/CS policy:</t>
    </r>
    <r>
      <rPr>
        <sz val="8"/>
        <color rgb="FF000000"/>
        <rFont val="Calibri"/>
        <family val="2"/>
      </rPr>
      <t xml:space="preserve"> System should be able to apply the balance /leftover amount of CS policy to other IL policy/s in case member has CS and IL policies. System should be able to perform the assessment calculation as per the policy conditions of successive policy
</t>
    </r>
    <r>
      <rPr>
        <b/>
        <sz val="8"/>
        <color rgb="FF000000"/>
        <rFont val="Calibri"/>
        <family val="2"/>
      </rPr>
      <t xml:space="preserve">Multiple CS Policies: </t>
    </r>
    <r>
      <rPr>
        <sz val="8"/>
        <color rgb="FF000000"/>
        <rFont val="Calibri"/>
        <family val="2"/>
      </rPr>
      <t xml:space="preserve">Members movement across subsidiaries with different policies - an option to carry forward the claims balance if the benefits are the same
To consider regulatory requirements wherever applicable.
</t>
    </r>
    <r>
      <rPr>
        <sz val="8"/>
        <color rgb="FFFF0000"/>
        <rFont val="Calibri"/>
        <family val="2"/>
      </rPr>
      <t xml:space="preserve">
Refer supporting Document for reference</t>
    </r>
  </si>
  <si>
    <r>
      <rPr>
        <b/>
        <sz val="8"/>
        <color theme="1"/>
        <rFont val="Calibri"/>
        <family val="2"/>
        <scheme val="minor"/>
      </rPr>
      <t xml:space="preserve">Partial Payment/Full payment: </t>
    </r>
    <r>
      <rPr>
        <sz val="8"/>
        <color theme="1"/>
        <rFont val="Calibri"/>
        <family val="2"/>
        <scheme val="minor"/>
      </rPr>
      <t xml:space="preserve">System should allow to pay the partial claim amount and keep the claim open till the time balance payment is not ready to pay. 
System to allow the claims handlers to deselect the line item at the benefit level to supress the payment from the overall assessment sheet. Claims handlers to have an option to put the reason while supressing the payment.
Claims to be kept open/pending  with the reduced reserve in case the partial payment is made.
Keep the current payment options dropdown of MJC for users to select the payment option
</t>
    </r>
    <r>
      <rPr>
        <b/>
        <sz val="8"/>
        <color theme="1"/>
        <rFont val="Calibri"/>
        <family val="2"/>
        <scheme val="minor"/>
      </rPr>
      <t xml:space="preserve">Advance/partial/full payment: </t>
    </r>
    <r>
      <rPr>
        <sz val="8"/>
        <color theme="1"/>
        <rFont val="Calibri"/>
        <family val="2"/>
        <scheme val="minor"/>
      </rPr>
      <t xml:space="preserve">System to have the capability to make the advance payment even if it is greater than adjusted amount. In this scenario, system to automatically create a shortfall equivalent to (payment amount - adjusted amount)  for the member/payee.
</t>
    </r>
  </si>
  <si>
    <r>
      <rPr>
        <b/>
        <sz val="8"/>
        <color theme="1"/>
        <rFont val="Calibri"/>
        <family val="2"/>
        <scheme val="minor"/>
      </rPr>
      <t xml:space="preserve">Payment to Multiple insured &amp; check for bankruptcy </t>
    </r>
    <r>
      <rPr>
        <sz val="8"/>
        <color theme="1"/>
        <rFont val="Calibri"/>
        <family val="2"/>
        <scheme val="minor"/>
      </rPr>
      <t xml:space="preserve">
System to have the flexibility to make the payment to multiple parties with in the same claims (payment to provider/insured/member/CPF etc.).
Payment to multiple insured can be made at - amount level /Plan level/benefit level etc. System to automatically populate the payee from PAS to whole payment is to be made as per the metrics.
System to allow claims handlers to select a different payee (already in PAS) other than default payee as per the special handling from member/policy holder.  
System to determine in case the payee become bankrupt. Claims payment to be automatically suspended in case the payee has become bankrupt and a pop up message to claims handlers to be displayed stating the bankruptcy of the payee. 
System to be integrated with with external/internal system to do a bankruptcy validation</t>
    </r>
  </si>
  <si>
    <r>
      <t xml:space="preserve">Contract Creation &amp; Modification:
</t>
    </r>
    <r>
      <rPr>
        <sz val="8"/>
        <rFont val="Calibri"/>
        <family val="2"/>
      </rPr>
      <t xml:space="preserve">PM Module to have the capability of generating the contract draft once all the below information is captured in the system
- Provider Profile
- Fee Schedule
- Terms and Conditions ( Standard)
- NDA Wordings
System to give flexibility to PM team to activiate/deactive/approve the contract status based on predefind dates (effective date, approval date etc)
</t>
    </r>
  </si>
  <si>
    <r>
      <rPr>
        <b/>
        <sz val="8"/>
        <color theme="1"/>
        <rFont val="Calibri"/>
        <family val="2"/>
        <scheme val="minor"/>
      </rPr>
      <t>Reopen</t>
    </r>
    <r>
      <rPr>
        <sz val="8"/>
        <color theme="1"/>
        <rFont val="Calibri"/>
        <family val="2"/>
        <scheme val="minor"/>
      </rPr>
      <t xml:space="preserve"> - in case of appeal, system should allow to reopen the claim in case of appeal by customer or for any financial adjustments. 
System to allow contact center to open the case directly in the claims system once claims handler select the reason for appeal. 
Cases opened by Contact center to be assigned back to the same user who has settled the coriginal claim. 
'Ability to reopen claims after decline decision and make  ex-gratia payment or settlement without prejudice  with proper approvals
'Ability to manually enter log appeal / complaint reasons, resolution approaches and results
Various reopen scenarios to be finalised with the business along with the permissions on reopened claims</t>
    </r>
  </si>
  <si>
    <r>
      <rPr>
        <b/>
        <sz val="8"/>
        <rFont val="Calibri"/>
        <family val="2"/>
        <scheme val="minor"/>
      </rPr>
      <t xml:space="preserve">Payment authority: </t>
    </r>
    <r>
      <rPr>
        <sz val="8"/>
        <rFont val="Calibri"/>
        <family val="2"/>
        <scheme val="minor"/>
      </rPr>
      <t xml:space="preserve">
'Ability to set payment authority limits (e.g. reserve, payment) based on individual user and user sub group. 
System to support the joint payment authority to handle large cases where the presented/payable amount is beyond individual authority limit. Joint authority group to be defined to cater for such cases. System to have the capability to have proxy arrangement for approving the claim on behalf of committee supported by email approval.
System to allow group admin team to manage the authority limits within the system without IT intervention
Authority levels to be defined based on below parameters but not restricted to:
1. Presented amount
2. Payable amount
3. Claims Type (Ip/Op)
4. Provider/member claims etc.
detailed rules to be finalised later with business
</t>
    </r>
  </si>
  <si>
    <r>
      <t>Network Creation (3 layer structure): 
1. IL Business Line:
2</t>
    </r>
    <r>
      <rPr>
        <sz val="8"/>
        <rFont val="Calibri"/>
        <family val="2"/>
      </rPr>
      <t xml:space="preserve">. System to display all the available products for provider management team to select (multiple selection). System to also give the flexibility to the users to enter the key words and system to prompt relevent products for Policy Admin team selection. system to support  1:N relationship between policy and products.
3. Once the  product is selected, all the corresponding plan to be displayed to for the Policy Admin team to do multiple selection that need to be attached to the product.
</t>
    </r>
    <r>
      <rPr>
        <b/>
        <sz val="8"/>
        <rFont val="Calibri"/>
        <family val="2"/>
      </rPr>
      <t xml:space="preserve">
1. CS Business Line:
</t>
    </r>
    <r>
      <rPr>
        <sz val="8"/>
        <rFont val="Calibri"/>
        <family val="2"/>
      </rPr>
      <t xml:space="preserve">
2. Provider Management team to enter the Policy number once the CS business line is selected. System to support 1:N relationship between CS business line and the policies.
3. System to display all the plans attached to the policy and Poicy Admin team to have the flexibility to select multiple plans for a particular policy </t>
    </r>
  </si>
  <si>
    <r>
      <rPr>
        <b/>
        <sz val="8"/>
        <color rgb="FF000000"/>
        <rFont val="Calibri"/>
        <family val="2"/>
      </rPr>
      <t>Claim Number:</t>
    </r>
    <r>
      <rPr>
        <sz val="8"/>
        <color rgb="FF000000"/>
        <rFont val="Calibri"/>
        <family val="2"/>
      </rPr>
      <t xml:space="preserve">
'Ability to generate a unique claims number after completing claims registration.
System to have the linkage with Document work flow indexing system to get a unique transaction ID/ Scan ID. 
Data after indexing to be integrated with claims portal/workflow and flows into the claims system along with Scan ID/Transaction ID. 
Claims system to automatically generate the claims number basis the indexed data. 
Claims system to automatically create a disability number basis the previous claim history and illness/diagnosis code enter by admin team (Medical information data entry). in case the new claim belong to same disability as that of previous claim, system to tag the claim under  the same disability with a sub sequence number. for accumulation of benefits.
summary:
1. Scan ID/Transaction ID
2. Claims No. (one transaction ID may have multiple claims, in this case the claims number to be generated in Sub sequence with suffix ) 
3. Disability Number (one claim can have multiple disability number depending upon the type/number of receipts attached with a claim form) </t>
    </r>
  </si>
  <si>
    <t>HLBR_Gen_0036</t>
  </si>
  <si>
    <r>
      <rPr>
        <b/>
        <sz val="8"/>
        <rFont val="Calibri"/>
        <family val="2"/>
        <scheme val="minor"/>
      </rPr>
      <t>Support multiple Language: 
Claims data Entry</t>
    </r>
    <r>
      <rPr>
        <sz val="8"/>
        <rFont val="Calibri"/>
        <family val="2"/>
        <scheme val="minor"/>
      </rPr>
      <t xml:space="preserve">: System to have the capability to support multi language data entry capabilities. English and Simplified chinese are the 2 languages to be supported by system. System to allow data enrty team to enter chinese character while inputing the data
</t>
    </r>
    <r>
      <rPr>
        <b/>
        <sz val="8"/>
        <rFont val="Calibri"/>
        <family val="2"/>
        <scheme val="minor"/>
      </rPr>
      <t xml:space="preserve">Correspondence: </t>
    </r>
    <r>
      <rPr>
        <sz val="8"/>
        <rFont val="Calibri"/>
        <family val="2"/>
        <scheme val="minor"/>
      </rPr>
      <t xml:space="preserve">System to support all the outbound correspondecne to be supported in 2 languages (English and simplified chinese). System to link it with PAS to identify the preferred language of communication for any correspondence.
</t>
    </r>
  </si>
  <si>
    <r>
      <rPr>
        <b/>
        <sz val="8"/>
        <rFont val="Calibri"/>
        <family val="2"/>
      </rPr>
      <t xml:space="preserve">Prior Approval: 
</t>
    </r>
    <r>
      <rPr>
        <sz val="8"/>
        <rFont val="Calibri"/>
        <family val="2"/>
      </rPr>
      <t xml:space="preserve">Prior approval is a process to approve credit on medical service before service incurred.   Provider submit PA request by input claim information and upload supporting document(s) if applicable in provider portal,  initial eligilbity (same as claims) is checked.  Benefit Eligibility check against estimated cost  and approved credit line.   Prior approval is either approve, decline or pending for further inforrmation.   Request  processing status, treatment details, approved credit limit are updated and display for provider to view in Portal after validation.  eNotification is sent to customer to confirm PA validation result.   For claims submission after discharge,  Provider  to collect out of pocket expense(shortfall) if the total billed amount exceed the approved credit limit.    For claims submission upon discharge,   provider input and submit claims details for claims assessment,   Request  processing status, treatment details, approved claims amount are updated and display for provider to view in Portal after validation.  eNotification is sent to customer to confirm claims result.  Provider to collect out of pocket expense(shortfall) as indicated in transaction details.   The request is assigned to PA team's work quene if manaul assessment is required otherwise, go through STP process to confirm PA validation result.   Provider amend approved PA detail and submit change request before treatment or during hospitalization. The initial request/change request is assigned to PA team's work quene if manaul assessment is required otherwise, go through STP process to confirm PA validation result.  During claim assessment,   claim is validated against approved PA details.  If there is any discrepancy,  claims is paid in according to the approved PA details. </t>
    </r>
  </si>
  <si>
    <r>
      <rPr>
        <b/>
        <sz val="8"/>
        <rFont val="Calibri"/>
        <family val="2"/>
      </rPr>
      <t>Print Claims Notification/Acknowledgement:</t>
    </r>
    <r>
      <rPr>
        <sz val="8"/>
        <rFont val="Calibri"/>
        <family val="2"/>
      </rPr>
      <t xml:space="preserve"> 'Ability to create, edit and print confirmation of loss notification to member/ provider/agents etc.
</t>
    </r>
    <r>
      <rPr>
        <b/>
        <sz val="8"/>
        <rFont val="Calibri"/>
        <family val="2"/>
      </rPr>
      <t xml:space="preserve">One Communication per claims form: </t>
    </r>
    <r>
      <rPr>
        <sz val="8"/>
        <rFont val="Calibri"/>
        <family val="2"/>
      </rPr>
      <t xml:space="preserve">System to generate only one correspondence/acknowledgement if there is only one claim form submittted by the claimant. One document may lead to multiple claims registration as per the claim rules and system to compile the information per the scan ID of the document and generate only one communication as per the correspondence metrics.
</t>
    </r>
  </si>
  <si>
    <r>
      <rPr>
        <b/>
        <sz val="8"/>
        <color rgb="FF000000"/>
        <rFont val="Calibri"/>
        <family val="2"/>
      </rPr>
      <t>Opening reserve:</t>
    </r>
    <r>
      <rPr>
        <sz val="8"/>
        <color rgb="FF000000"/>
        <rFont val="Calibri"/>
        <family val="2"/>
      </rPr>
      <t xml:space="preserve">
'Ability to automatically open reserve for the claim based upon pre-defined reserve rules (SOR) for all the Major claims.
Rules for SOR to be defind for major claims where the proof of salary is not submitted with the original documents. Rules to be driven by policy and plan under the policy/ 
Automatic reserves/claim is to be created in case Any LOG/PA has been issued to the member/insured. LOG workflow to be linked with claim workflow and system to have the capability to retrieve the LOG data into real claims data once the actual claim is received to avoid double data entry/ validation. Once eLOG is approved the approved amount to be consider as the reserve amount for that claim. System to all allow users to modify LOG details and reissue the same as per teh request. System to have the capability to automatically close the LOG after the expiry date and show the error message "LOG expired) to claims handlers while registering the claim.
All reserve amount (equivalent to adjusted amount) to be captured  in the system for all the pending cases (already registered ) awaiting additional document/information from the insured/member etc. 
Opening reserve to be updated in the system for all the new claims cases immediately after the scanning and indexing. Presented amount to be entered during scanning and will be considered as reserve amount before claims registration for finacial reporting only.
Recovery reserves in case of reinsurance is activated
</t>
    </r>
    <r>
      <rPr>
        <b/>
        <sz val="8"/>
        <color rgb="FF000000"/>
        <rFont val="Calibri"/>
        <family val="2"/>
      </rPr>
      <t xml:space="preserve">Benefit enquiry: </t>
    </r>
    <r>
      <rPr>
        <sz val="8"/>
        <color rgb="FF000000"/>
        <rFont val="Calibri"/>
        <family val="2"/>
      </rPr>
      <t xml:space="preserve">system to allow claim handlers to do full benefits enquiry (equal to full registration) in the claim system without creating the reserves. Claims handlers to indicate in the beginning to indicate the enquiry/New claims. once enquiry is selected as an opition, system to not create a claim and reserve but save the information in the system as draft claim.  </t>
    </r>
  </si>
  <si>
    <r>
      <rPr>
        <b/>
        <sz val="8"/>
        <rFont val="Calibri"/>
        <family val="2"/>
        <scheme val="minor"/>
      </rPr>
      <t xml:space="preserve">Support Enquiry/ analysis: </t>
    </r>
    <r>
      <rPr>
        <sz val="8"/>
        <rFont val="Calibri"/>
        <family val="2"/>
        <scheme val="minor"/>
      </rPr>
      <t xml:space="preserve">
System to allow the end user to locate any entity (Doctor/ Network provider/ clinic/ Labs / etc.) based on the property selected by the user (GP/SP/Opening hours/ location etc.) through mobile app or any other channel.
System to enable contact centre to team to navigate through the system based on property and entity relations and guide the end users to right destination.
Entity/property relation to be defined by the business
Group admin team to have the flexibility to add/edit/delete any entity or property as per the need, Group admin team to also have the flexibility to link property and entity without any IT intervention.
 </t>
    </r>
  </si>
  <si>
    <t>Claims system 
PAS system</t>
  </si>
  <si>
    <r>
      <rPr>
        <b/>
        <sz val="8"/>
        <color rgb="FF000000"/>
        <rFont val="Calibri"/>
        <family val="2"/>
      </rPr>
      <t xml:space="preserve">Correspondence (L&amp;C) : </t>
    </r>
    <r>
      <rPr>
        <sz val="8"/>
        <color rgb="FF000000"/>
        <rFont val="Calibri"/>
        <family val="2"/>
      </rPr>
      <t xml:space="preserve">System should be able to generate all letters of correspondence to support claims assessment. Majority of the documents are very generic (with minor data entry - potential for automation)and standard hence there is a potential to generate the automatic letters to increase efficiency and effectiveness. System to allow users to make any edits before sending the correspondence out. All the generated documents will trigger a reminder for assessor to follow up on the document.
</t>
    </r>
    <r>
      <rPr>
        <b/>
        <sz val="8"/>
        <color rgb="FF000000"/>
        <rFont val="Calibri"/>
        <family val="2"/>
      </rPr>
      <t>IL Claims:</t>
    </r>
    <r>
      <rPr>
        <sz val="8"/>
        <color rgb="FF000000"/>
        <rFont val="Calibri"/>
        <family val="2"/>
      </rPr>
      <t xml:space="preserve">
System to generate a push notification to agents on agency portal for them to take any appropriate actions when required. Push notification to be made available at overall level (main screen) and at client level screen to end to end view on corresponding status 
System to have flexibility to generate correspondence through any preferred channel listed in PAS (email/ SMS etc.) System to retrieve the preferred channel information from PAS and use the same mode of communication
</t>
    </r>
    <r>
      <rPr>
        <b/>
        <sz val="8"/>
        <color rgb="FF000000"/>
        <rFont val="Calibri"/>
        <family val="2"/>
      </rPr>
      <t xml:space="preserve">CS Claims: 
</t>
    </r>
    <r>
      <rPr>
        <sz val="8"/>
        <color rgb="FF000000"/>
        <rFont val="Calibri"/>
        <family val="2"/>
      </rPr>
      <t>A comprehensive table/matrices to be created which includes but not restricted to  the below:
Pending description 
Pending reason
Pending Code
Pending correspondence recipient
reminder Process (Protocol- how many reminders before automatic closure)
Reminder protocol (same letter with slight automatic modification)
Who is the recipient basis the reason code
What message to what recipient
Preferred Mode of communication 
System to operate basis the above table to generate all the correspondence 
Refer to Supporting document for more details</t>
    </r>
  </si>
  <si>
    <r>
      <rPr>
        <b/>
        <sz val="8"/>
        <rFont val="Calibri"/>
        <family val="2"/>
      </rPr>
      <t xml:space="preserve">Policy Premium: 
</t>
    </r>
    <r>
      <rPr>
        <sz val="8"/>
        <rFont val="Calibri"/>
        <family val="2"/>
      </rPr>
      <t>Ability to auto trigger to claims handler if premium is not paid to date. System to block the payment in case premium paid to date in not updated</t>
    </r>
    <r>
      <rPr>
        <b/>
        <sz val="8"/>
        <rFont val="Calibri"/>
        <family val="2"/>
      </rPr>
      <t xml:space="preserve"> (CS and IL Both)</t>
    </r>
    <r>
      <rPr>
        <sz val="8"/>
        <rFont val="Calibri"/>
        <family val="2"/>
      </rPr>
      <t xml:space="preserve"> . System to give flexibility to clams handler to offset the premium amount with claims adjusted amount. system to automaticlaly trigger the DJ entries to corresponding debit and credit accounts</t>
    </r>
    <r>
      <rPr>
        <b/>
        <sz val="8"/>
        <rFont val="Calibri"/>
        <family val="2"/>
      </rPr>
      <t xml:space="preserve"> (IL Only)</t>
    </r>
    <r>
      <rPr>
        <sz val="8"/>
        <rFont val="Calibri"/>
        <family val="2"/>
      </rPr>
      <t xml:space="preserve">
System to assign the corresponding complexity rating for right clams assignment in case Premium is not paid to date
Ability to information and notify finance department/PMM if the premium is not paid and pend the case with right pending code. system to generate reminder in case no response from U/W/ POS team</t>
    </r>
  </si>
  <si>
    <r>
      <rPr>
        <b/>
        <sz val="8"/>
        <color rgb="FF000000"/>
        <rFont val="Calibri"/>
        <family val="2"/>
      </rPr>
      <t>Fee validation;</t>
    </r>
    <r>
      <rPr>
        <sz val="8"/>
        <color rgb="FF000000"/>
        <rFont val="Calibri"/>
        <family val="2"/>
      </rPr>
      <t xml:space="preserve"> 
</t>
    </r>
    <r>
      <rPr>
        <b/>
        <sz val="8"/>
        <color rgb="FF000000"/>
        <rFont val="Calibri"/>
        <family val="2"/>
      </rPr>
      <t>Network/ Panel:</t>
    </r>
    <r>
      <rPr>
        <sz val="8"/>
        <color rgb="FF000000"/>
        <rFont val="Calibri"/>
        <family val="2"/>
      </rPr>
      <t xml:space="preserve"> System should be able to retrieve and validate agreed fee from provider contract to avoid any excess payment.
</t>
    </r>
    <r>
      <rPr>
        <b/>
        <sz val="8"/>
        <color rgb="FF000000"/>
        <rFont val="Calibri"/>
        <family val="2"/>
      </rPr>
      <t>Non Network/Non penal:</t>
    </r>
    <r>
      <rPr>
        <sz val="8"/>
        <color rgb="FF000000"/>
        <rFont val="Calibri"/>
        <family val="2"/>
      </rPr>
      <t xml:space="preserve"> System to also check the R&amp;C charges in relation to the treatment and the room type and should flag if it is within or above the limit of R&amp;C charges 
Country specific rules to be discussed and build in the system to enable STP.
</t>
    </r>
    <r>
      <rPr>
        <b/>
        <sz val="8"/>
        <color rgb="FF000000"/>
        <rFont val="Calibri"/>
        <family val="2"/>
      </rPr>
      <t xml:space="preserve">Ex: </t>
    </r>
    <r>
      <rPr>
        <sz val="8"/>
        <color rgb="FF000000"/>
        <rFont val="Calibri"/>
        <family val="2"/>
      </rPr>
      <t xml:space="preserve">
1. Network (agreed fee) if presented amount is greater than agreed fee than net payable/adjusted amount will be reduced to agreed fees and claim can be STPed
2. Network (Not agreed fee): If there is no agreed fee for a particular treatment than it doesn't qualify for STP and system to compare the presented amount with R&amp;C
3. Non Network:  Doesn't qualify for STP and system to compare the presented amount with R&amp;C
</t>
    </r>
    <r>
      <rPr>
        <b/>
        <sz val="8"/>
        <color rgb="FF000000"/>
        <rFont val="Calibri"/>
        <family val="2"/>
      </rPr>
      <t xml:space="preserve">Editable Adjusted amount: </t>
    </r>
    <r>
      <rPr>
        <sz val="8"/>
        <color rgb="FF000000"/>
        <rFont val="Calibri"/>
        <family val="2"/>
      </rPr>
      <t xml:space="preserve">System to have the flexibility for claims handler to edit the adjusted amount above the agreed fee in case it is estabilshed beyond doubts that the charged fee is acceptable.  System to trigger the internal correspondence to PM team  to check the validity of the higher fee.
</t>
    </r>
  </si>
  <si>
    <r>
      <t xml:space="preserve">Beneficiary Details: </t>
    </r>
    <r>
      <rPr>
        <sz val="8"/>
        <color rgb="FF000000"/>
        <rFont val="Calibri"/>
        <family val="2"/>
      </rPr>
      <t xml:space="preserve">System to be integrated with Policy system and retrieve the latest details of the beneficiary and their corresponding share from policy admin system to avoid any manual calculation errors.
Claims handler should not be allowed to edit the beneficiary details and their corresponding percentages. Any changes related to policy setup has to be performed by Policy admin team for internal control purposes. 
Changes to be reflected real time changes once the set up (beneficiary details) is changed by Policy Admins team.   
</t>
    </r>
    <r>
      <rPr>
        <b/>
        <sz val="8"/>
        <color rgb="FF000000"/>
        <rFont val="Calibri"/>
        <family val="2"/>
      </rPr>
      <t xml:space="preserve">Exception to the rule: </t>
    </r>
    <r>
      <rPr>
        <sz val="8"/>
        <color rgb="FF000000"/>
        <rFont val="Calibri"/>
        <family val="2"/>
      </rPr>
      <t>In case of death claims where the beneficiaries details are different than hte PAS for majority of the cases, system to allow claims handlers (restricted access with controlled access) to edit the benefiticary details and their corresponding percentages</t>
    </r>
  </si>
  <si>
    <r>
      <rPr>
        <b/>
        <sz val="8"/>
        <color rgb="FF000000"/>
        <rFont val="Calibri"/>
        <family val="2"/>
      </rPr>
      <t>Claimant Master (Black listed Claimiant):</t>
    </r>
    <r>
      <rPr>
        <sz val="8"/>
        <color rgb="FF000000"/>
        <rFont val="Calibri"/>
        <family val="2"/>
      </rPr>
      <t xml:space="preserve">
System to be  integrated with claim master. It should be able to retrieve the information from the claimant master and rasie a flag in Claims system in case the claimiant is black listed and attached a higher risk rating for the claim.</t>
    </r>
  </si>
  <si>
    <t>Claimant Master</t>
  </si>
  <si>
    <t>Language</t>
  </si>
  <si>
    <r>
      <rPr>
        <b/>
        <sz val="8"/>
        <color rgb="FF000000"/>
        <rFont val="Calibri"/>
        <family val="2"/>
      </rPr>
      <t>Fraud investigation:</t>
    </r>
    <r>
      <rPr>
        <sz val="8"/>
        <color rgb="FF000000"/>
        <rFont val="Calibri"/>
        <family val="2"/>
      </rPr>
      <t xml:space="preserve">
'Ability to add and update contents in the fraud investigation screen (E.g.: Fraud savings(net and gross), root causes, success probability etc..)
System to have a separate screen in absence of any fraud management workflow system to capture all the investigation details and corresponding updated status.
all the data fields to be defined later with business (20)</t>
    </r>
  </si>
  <si>
    <r>
      <rPr>
        <b/>
        <sz val="8"/>
        <color rgb="FF000000"/>
        <rFont val="Calibri"/>
        <family val="2"/>
      </rPr>
      <t>Fraud Rating:</t>
    </r>
    <r>
      <rPr>
        <sz val="8"/>
        <color rgb="FF000000"/>
        <rFont val="Calibri"/>
        <family val="2"/>
      </rPr>
      <t xml:space="preserve"> Sytem to automatically capture the rating of customer, member, agent, broker, doctor, provider etc based on the type of fraud indicator/flag rasied by system.
Rating shold be brought forward for claims handlers reference for any succesive claims for the parties whose rating in bad. 
Rules on the rating to be defind laster with the busienss</t>
    </r>
  </si>
  <si>
    <t>Claims System
PM etc.</t>
  </si>
  <si>
    <t>Rating</t>
  </si>
  <si>
    <r>
      <rPr>
        <b/>
        <sz val="8"/>
        <rFont val="Calibri"/>
        <family val="2"/>
        <scheme val="minor"/>
      </rPr>
      <t>Contact Centre/others enquiry (CS Module):</t>
    </r>
    <r>
      <rPr>
        <sz val="8"/>
        <rFont val="Calibri"/>
        <family val="2"/>
        <scheme val="minor"/>
      </rPr>
      <t xml:space="preserve">
System to have the capability to support any customer enquiry related to claims, system to have UI screen where contact centre can entry customer related information to navigate to the right claims screen within claims portal. Suers to define various search criterion for CS team to identify the right member -&gt; right policies-&gt; right claims.
Few critical information/screen  to be brought forward for contact centre to support the customer query. ex, claims summary screen including notes, Claims financial summary screen etc.
CS module to support Summary of shortfall amount, per claim/per policy/ overall shortfall amount (per claim/ per member/policy) 
System to allow claims portal to capture the customer complaint related to a particular claim or policy in  a structured format (drop down list of name of complaint, reason of complaint, date registered, resolution type etc., details to be defined later). 
System to support claims and policy level enquiry through various channels and various users (Agents/Member/Provider/ HR/ Business partners) etc. Details of the various type of enquiries are defined in the supporting documents. 
5-7 CS module screens are expected to be build under the module to support customer enquiry. Functionality under each screen to includes search capability and data retrieval capability from Claims/ PAS system 
refer to Supporting documents for more details</t>
    </r>
  </si>
  <si>
    <r>
      <rPr>
        <b/>
        <sz val="8"/>
        <color rgb="FF000000"/>
        <rFont val="Calibri"/>
        <family val="2"/>
      </rPr>
      <t xml:space="preserve">Shortfall Workflow: </t>
    </r>
    <r>
      <rPr>
        <sz val="8"/>
        <color rgb="FF000000"/>
        <rFont val="Calibri"/>
        <family val="2"/>
      </rPr>
      <t xml:space="preserve">in case of shortfall, system to have the capabilities to 
o Generate reminders have to be issued for outstanding shortfall amounts (reminder frequency to be decided later with business and reminder to be issues from billing  module) 
o Reimbursement claims settlement to be offset automatically with the shortfall amount
o Subsequent reimbursement claim payments are held in case the shortfall in still open (in case short fall amount is greater than payable amount)
 o System to have the capability to adjust the shortfall (member/family level) with the current claim 
</t>
    </r>
    <r>
      <rPr>
        <b/>
        <sz val="8"/>
        <color rgb="FF000000"/>
        <rFont val="Calibri"/>
        <family val="2"/>
      </rPr>
      <t>Suspend credit service &amp; payment (flexibility to override):</t>
    </r>
    <r>
      <rPr>
        <sz val="8"/>
        <color rgb="FF000000"/>
        <rFont val="Calibri"/>
        <family val="2"/>
      </rPr>
      <t xml:space="preserve">
     </t>
    </r>
    <r>
      <rPr>
        <b/>
        <sz val="8"/>
        <color rgb="FF000000"/>
        <rFont val="Calibri"/>
        <family val="2"/>
      </rPr>
      <t>Hold card/ Hold claim:</t>
    </r>
    <r>
      <rPr>
        <sz val="8"/>
        <color rgb="FF000000"/>
        <rFont val="Calibri"/>
        <family val="2"/>
      </rPr>
      <t xml:space="preserve"> Renewal or replacement medical cards are not issued
     </t>
    </r>
    <r>
      <rPr>
        <b/>
        <sz val="8"/>
        <color rgb="FF000000"/>
        <rFont val="Calibri"/>
        <family val="2"/>
      </rPr>
      <t>Suspend Cashless:</t>
    </r>
    <r>
      <rPr>
        <sz val="8"/>
        <color rgb="FF000000"/>
        <rFont val="Calibri"/>
        <family val="2"/>
      </rPr>
      <t xml:space="preserve"> On-line eligibility check / PA / LOG requests are declined. Push notification to member in case cashless is suspended
</t>
    </r>
    <r>
      <rPr>
        <b/>
        <sz val="8"/>
        <color rgb="FF000000"/>
        <rFont val="Calibri"/>
        <family val="2"/>
      </rPr>
      <t xml:space="preserve">Write-off/No write off/on Hold: 
</t>
    </r>
    <r>
      <rPr>
        <sz val="8"/>
        <color rgb="FF000000"/>
        <rFont val="Calibri"/>
        <family val="2"/>
      </rPr>
      <t xml:space="preserve">System to have the capability and flexibility to support to auto write off/ no write off/ on Hold. Write off rules are based on the policy for CS customer and based on products for IL customers. To support auto write-off  for smaller amounts as per internal credit policies
System to automatically take the decison on shortfall process and should give a flexibility for claims handler to override the decision. 
System to have the capability to generate the write-off report for all the shortfall cases as per the time period/ per policy.
</t>
    </r>
    <r>
      <rPr>
        <b/>
        <sz val="8"/>
        <color rgb="FF000000"/>
        <rFont val="Calibri"/>
        <family val="2"/>
      </rPr>
      <t>Installment Shortfall recovery:</t>
    </r>
    <r>
      <rPr>
        <sz val="8"/>
        <color rgb="FF000000"/>
        <rFont val="Calibri"/>
        <family val="2"/>
      </rPr>
      <t xml:space="preserve"> System to bypass shortfall workflow once member agree to pay the shortfall in installments. system to give claim handler an indicator to specify if member is opting for installment payment</t>
    </r>
  </si>
  <si>
    <t>Status</t>
  </si>
  <si>
    <t>HLBR_FNOL_25</t>
  </si>
  <si>
    <t>HLBR_Adj_0001</t>
  </si>
  <si>
    <t>HLBR_Adj_0002</t>
  </si>
  <si>
    <t>HLBR_Adj_0003</t>
  </si>
  <si>
    <t>HLBR_Adj_0004</t>
  </si>
  <si>
    <t>HLBR_Adj_0005</t>
  </si>
  <si>
    <t>HLBR_Adj_0006</t>
  </si>
  <si>
    <t>HLBR_Adj_0007</t>
  </si>
  <si>
    <t>HLBR_Adj_0008</t>
  </si>
  <si>
    <t>HLBR_Adj_0009</t>
  </si>
  <si>
    <t>HLBR_Adj_0010</t>
  </si>
  <si>
    <t>HLBR_Adj_0011</t>
  </si>
  <si>
    <t>HLBR_Adj_0012</t>
  </si>
  <si>
    <t>HLBR_Adj_0013</t>
  </si>
  <si>
    <t>HLBR_Adj_0014</t>
  </si>
  <si>
    <t>HLBR_Adj_0015</t>
  </si>
  <si>
    <t>HLBR_Adj_0016</t>
  </si>
  <si>
    <t>HLBR_Adj_0017</t>
  </si>
  <si>
    <t>HLBR_Adj_0018</t>
  </si>
  <si>
    <t>HLBR_Adj_0019</t>
  </si>
  <si>
    <t>HLBR_Adj_0020</t>
  </si>
  <si>
    <t>HLBR_Adj_0021</t>
  </si>
  <si>
    <t>HLBR_Adj_0022</t>
  </si>
  <si>
    <t>HLBR_Adj_0023</t>
  </si>
  <si>
    <t>HLBR_Adj_0024</t>
  </si>
  <si>
    <t>HLBR_Adj_0025</t>
  </si>
  <si>
    <t>HLBR_Adj_0026</t>
  </si>
  <si>
    <t>HLBR_Adj_0027</t>
  </si>
  <si>
    <t>HLBR_Adj_0028</t>
  </si>
  <si>
    <t>HLBR_Adj_0029</t>
  </si>
  <si>
    <t>HLBR_Adj_0030</t>
  </si>
  <si>
    <t>HLBR_Adj_0031</t>
  </si>
  <si>
    <t>HLBR_Adj_32</t>
  </si>
  <si>
    <t>HLBR_Adj_0033</t>
  </si>
  <si>
    <t>HLBR_Adj_0034</t>
  </si>
  <si>
    <t>HLBR_Adj_0035</t>
  </si>
  <si>
    <t>HLBR_Adj_0036</t>
  </si>
  <si>
    <t>HLBR_Adj_0037</t>
  </si>
  <si>
    <t>HLBR_Adj_0038</t>
  </si>
  <si>
    <t>HLBR_Adj_0039</t>
  </si>
  <si>
    <t>HLBR_Adj_0040</t>
  </si>
  <si>
    <t>HLBR_Adj_0041</t>
  </si>
  <si>
    <t>HLBR_Adj_0042</t>
  </si>
  <si>
    <t>HK CS</t>
  </si>
  <si>
    <t>SG CS</t>
  </si>
  <si>
    <t>SG IL</t>
  </si>
  <si>
    <t>Approved</t>
  </si>
  <si>
    <t>Under review</t>
  </si>
  <si>
    <r>
      <rPr>
        <b/>
        <sz val="8"/>
        <color rgb="FF000000"/>
        <rFont val="Calibri"/>
        <family val="2"/>
      </rPr>
      <t xml:space="preserve">Previous claims amount paid accumulation: 
</t>
    </r>
    <r>
      <rPr>
        <sz val="8"/>
        <color rgb="FF000000"/>
        <rFont val="Calibri"/>
        <family val="2"/>
      </rPr>
      <t>System to accumulate the claims amount paid at plan/coverage/ policy/per life level. Once the claims payment is made the system to group the amount as per the benefits stored in the policy admin system.
System to backfill the payment amount in PAS to enable the validation on the benefit limits
Accumulation of benefits will stay in claims system and will not be backfilled/ Need to cater for current system arrangements ( SG IL - all accumulation happens in IL )
Product specific rules to be defined later with business units on how to accumulate the benefits</t>
    </r>
  </si>
  <si>
    <r>
      <rPr>
        <b/>
        <sz val="8"/>
        <color rgb="FF000000"/>
        <rFont val="Calibri"/>
        <family val="2"/>
      </rPr>
      <t>Payment amount allocation between medisave and medishield:</t>
    </r>
    <r>
      <rPr>
        <sz val="8"/>
        <color rgb="FF000000"/>
        <rFont val="Calibri"/>
        <family val="2"/>
      </rPr>
      <t xml:space="preserve">
System to auto allocate the payment amount once calculated in sequential manner as per below:
1st : Allocate the amount to provider (in case of LOG)
       : Allocate the amount to member in case of cash payment 
2nd: Allocate the payment to medisafe (CPF) in case the balance is still available
        : Flexibility to allocate the CPF payable amount to multiple CPF account (manual)
3rd: Apply balance of payment to medishield account/meshiled life as applicable (automatic)  
The allocation aof amount to the above sequence is to follow the invoice amount paid by respective categories.
</t>
    </r>
    <r>
      <rPr>
        <u/>
        <sz val="8"/>
        <color rgb="FF000000"/>
        <rFont val="Calibri"/>
        <family val="2"/>
      </rPr>
      <t>Payment</t>
    </r>
    <r>
      <rPr>
        <sz val="8"/>
        <color rgb="FF000000"/>
        <rFont val="Calibri"/>
        <family val="2"/>
      </rPr>
      <t xml:space="preserve"> to medishield to support GIRO payment in case it is to AIA  
</t>
    </r>
    <r>
      <rPr>
        <b/>
        <sz val="8"/>
        <color rgb="FF000000"/>
        <rFont val="Calibri"/>
        <family val="2"/>
      </rPr>
      <t/>
    </r>
  </si>
  <si>
    <r>
      <rPr>
        <b/>
        <sz val="8"/>
        <color rgb="FF000000"/>
        <rFont val="Calibri"/>
        <family val="2"/>
      </rPr>
      <t xml:space="preserve">Pend Claim (Internal): </t>
    </r>
    <r>
      <rPr>
        <sz val="8"/>
        <color rgb="FF000000"/>
        <rFont val="Calibri"/>
        <family val="2"/>
      </rPr>
      <t xml:space="preserve">CH should be able to tag the claim with right pending code and system to automatically select the recipient for pending the claim
Internal pending codes split into  1) with  pend notice for agents 2) solely for internal staff processing; i.e. no pend notice for agents
in case of internal routing (system should be able to send automatic email/reminders presetup in the table for faster response from internal team)
Some of the reason for internal routing (but not restricted to): 
1. Outstanding premium  
2. Other policy/member status (TBC)
3. Exclusion etc.
System to have the capability to assign the claim in case medical review is required on a particular case. System to trigger a notification to medical review team/person once the case is assigned to him/her. Similar trigger to be generated to the claim handler once the review is completed by the medical reviewer.  system auto identify based on the pending reason and prepare medical review form and route to DR for medication comment
</t>
    </r>
    <r>
      <rPr>
        <b/>
        <sz val="8"/>
        <color rgb="FF000000"/>
        <rFont val="Calibri"/>
        <family val="2"/>
      </rPr>
      <t>P.S.:</t>
    </r>
    <r>
      <rPr>
        <sz val="8"/>
        <color rgb="FF000000"/>
        <rFont val="Calibri"/>
        <family val="2"/>
      </rPr>
      <t xml:space="preserve"> All the detailed codes are defined separately
</t>
    </r>
  </si>
  <si>
    <r>
      <rPr>
        <b/>
        <sz val="8"/>
        <rFont val="Calibri"/>
        <family val="2"/>
      </rPr>
      <t>Validation Check:</t>
    </r>
    <r>
      <rPr>
        <sz val="8"/>
        <rFont val="Calibri"/>
        <family val="2"/>
      </rPr>
      <t xml:space="preserve"> System to perform the validation check on eligibility of claimant (Individual/Insured/beneficiaries/CS customer/Director/Settlor/Trustee etc.) below:
Black listed 
US citizenship/residency screening
OFCA screening
PEP Screening
JFIU Screening - AML guideline
Identify client under legal intervention
System to flag the claims in case any of the indicators are applicable and should block the payment till the time the flag is not removed manually.
System to perfrom validation check on PEP, Black listed, AML at teh time of making hte payment and should throw a warning to claims assessor for their action </t>
    </r>
    <r>
      <rPr>
        <b/>
        <sz val="8"/>
        <rFont val="Calibri"/>
        <family val="2"/>
      </rPr>
      <t xml:space="preserve">(SG IL) </t>
    </r>
    <r>
      <rPr>
        <sz val="8"/>
        <rFont val="Calibri"/>
        <family val="2"/>
      </rPr>
      <t xml:space="preserve">
System to link these parameters to complexity/risk score for claims assignment. Risk rules to be defined later</t>
    </r>
  </si>
  <si>
    <r>
      <t xml:space="preserve">FNOL Snapshot of Policy:  </t>
    </r>
    <r>
      <rPr>
        <sz val="8"/>
        <color rgb="FF000000"/>
        <rFont val="Calibri"/>
        <family val="2"/>
      </rPr>
      <t xml:space="preserve">System to have the capability to capture the snapshot of the policy details at the time of registration, these details should not change over a period of time and should stay static.
This is particularly important when claims handler terminate the case and lot of policy information disappear from UI in PAS Admin system 
Policy Snapshot to captured during payment as well to support audit purposes </t>
    </r>
    <r>
      <rPr>
        <b/>
        <sz val="8"/>
        <color rgb="FF000000"/>
        <rFont val="Calibri"/>
        <family val="2"/>
      </rPr>
      <t>(SG IL)</t>
    </r>
    <r>
      <rPr>
        <sz val="8"/>
        <color rgb="FF000000"/>
        <rFont val="Calibri"/>
        <family val="2"/>
      </rPr>
      <t xml:space="preserve">
Policy information that need to be captured is to be defined by business later
</t>
    </r>
  </si>
  <si>
    <r>
      <rPr>
        <b/>
        <sz val="8"/>
        <color rgb="FF000000"/>
        <rFont val="Calibri"/>
        <family val="2"/>
      </rPr>
      <t>Payment Notification;</t>
    </r>
    <r>
      <rPr>
        <sz val="8"/>
        <color rgb="FF000000"/>
        <rFont val="Calibri"/>
        <family val="2"/>
      </rPr>
      <t xml:space="preserve"> 'Ability to generate automatically and manually payment notification to insured, Agents/intermediary, Service providers via preferred channel (e.g. SMS, Email, Letter)
1. Send notification to insured via mobile app, customer/ My Page/email, SMS or letter
2. Send notification to Via via mobile app, email, SMS or letter
3. Send notification to third party via email, SMS, Provider portal or letter
'Ability to concurrently copy additional parties (Agents/ brokers etc) and internal business units for payment notification (e.g. sales, account, finance departments) - </t>
    </r>
    <r>
      <rPr>
        <b/>
        <sz val="8"/>
        <color rgb="FF000000"/>
        <rFont val="Calibri"/>
        <family val="2"/>
      </rPr>
      <t>(SG IL)</t>
    </r>
  </si>
  <si>
    <t>HLBR_Reg_00018</t>
  </si>
  <si>
    <t>As - Is</t>
  </si>
  <si>
    <t>PAS/ Claims System</t>
  </si>
  <si>
    <r>
      <rPr>
        <b/>
        <sz val="8"/>
        <color theme="1"/>
        <rFont val="Calibri"/>
        <family val="2"/>
        <scheme val="minor"/>
      </rPr>
      <t>Multi Currency Payment</t>
    </r>
    <r>
      <rPr>
        <sz val="8"/>
        <color theme="1"/>
        <rFont val="Calibri"/>
        <family val="2"/>
        <scheme val="minor"/>
      </rPr>
      <t>: 
System is be capable of handling more than one currency for any given claim.
D</t>
    </r>
    <r>
      <rPr>
        <b/>
        <sz val="8"/>
        <color theme="1"/>
        <rFont val="Calibri"/>
        <family val="2"/>
        <scheme val="minor"/>
      </rPr>
      <t xml:space="preserve">uring Submission: </t>
    </r>
    <r>
      <rPr>
        <sz val="8"/>
        <color theme="1"/>
        <rFont val="Calibri"/>
        <family val="2"/>
        <scheme val="minor"/>
      </rPr>
      <t xml:space="preserve">if the Invoice amount is in different currency than the policy currency. System to allow admin team to select the presented amount currency (default at policy currency) while entering the data during claims submission. System to automatically convert the amount into policy currency to enable accurate risk profiling and setting up the right reserve.  
</t>
    </r>
    <r>
      <rPr>
        <b/>
        <sz val="8"/>
        <color theme="1"/>
        <rFont val="Calibri"/>
        <family val="2"/>
        <scheme val="minor"/>
      </rPr>
      <t>Claims Payment:</t>
    </r>
    <r>
      <rPr>
        <sz val="8"/>
        <color theme="1"/>
        <rFont val="Calibri"/>
        <family val="2"/>
        <scheme val="minor"/>
      </rPr>
      <t xml:space="preserve"> Policy might be issued in one currency but member/insured requested the payment in other currency than policy currency. System to have the flexibility to make the currency payment in any other currency other that policy currency in case of exceptions/special handling guideline. This exception handling is to be restricted based on user profile (access restricted). Exchahnge rate to be calculated bsed on the payment processing date.
</t>
    </r>
    <r>
      <rPr>
        <b/>
        <sz val="8"/>
        <color theme="1"/>
        <rFont val="Calibri"/>
        <family val="2"/>
        <scheme val="minor"/>
      </rPr>
      <t xml:space="preserve">CPF Payment: </t>
    </r>
    <r>
      <rPr>
        <sz val="8"/>
        <color theme="1"/>
        <rFont val="Calibri"/>
        <family val="2"/>
        <scheme val="minor"/>
      </rPr>
      <t xml:space="preserve">After allocating the amount to be paid under medisafe/CPF system to convert all the payment amount to SGD for CPD board only and rest of the currency to stay as policy currency for other payment purposes </t>
    </r>
    <r>
      <rPr>
        <b/>
        <sz val="8"/>
        <color theme="1"/>
        <rFont val="Calibri"/>
        <family val="2"/>
        <scheme val="minor"/>
      </rPr>
      <t xml:space="preserve">(SG IL &amp; CS)  </t>
    </r>
    <r>
      <rPr>
        <sz val="8"/>
        <color theme="1"/>
        <rFont val="Calibri"/>
        <family val="2"/>
        <scheme val="minor"/>
      </rPr>
      <t xml:space="preserve">
</t>
    </r>
    <r>
      <rPr>
        <b/>
        <sz val="8"/>
        <color theme="1"/>
        <rFont val="Calibri"/>
        <family val="2"/>
        <scheme val="minor"/>
      </rPr>
      <t>Appeal Case:</t>
    </r>
    <r>
      <rPr>
        <sz val="8"/>
        <color theme="1"/>
        <rFont val="Calibri"/>
        <family val="2"/>
        <scheme val="minor"/>
      </rPr>
      <t xml:space="preserve">  Exchange rate to be calculated based on the previous processing date in case of further appeal.
</t>
    </r>
    <r>
      <rPr>
        <b/>
        <sz val="8"/>
        <color theme="1"/>
        <rFont val="Calibri"/>
        <family val="2"/>
        <scheme val="minor"/>
      </rPr>
      <t xml:space="preserve">Finance interface: </t>
    </r>
    <r>
      <rPr>
        <sz val="8"/>
        <color theme="1"/>
        <rFont val="Calibri"/>
        <family val="2"/>
        <scheme val="minor"/>
      </rPr>
      <t>Need to align with finance on interface process between bank and Payment portal and its support on multiple currency payment. Claims system to have the capability to trigger cheque requisitions  requests in case the direct interface is not possible for other currencies.
Bank exchange rate report including the transaction charges to be shared with customer along with EOB sheet to explain the details.</t>
    </r>
  </si>
  <si>
    <r>
      <rPr>
        <b/>
        <sz val="8"/>
        <color theme="1"/>
        <rFont val="Calibri"/>
        <family val="2"/>
      </rPr>
      <t>Send Claims Notification:</t>
    </r>
    <r>
      <rPr>
        <sz val="8"/>
        <color theme="1"/>
        <rFont val="Calibri"/>
        <family val="2"/>
      </rPr>
      <t xml:space="preserve"> 'Ability to send a confirmation of loss notification to the insured and / or Agents via preferred channel(s)
1. Insured receives notification from mobile app, AIA Website, email, SMS or letter
2. Intermediary receives notification from mobile app, AIA Portal, email, SMS or letter
3. Vendors receives notification from Web portal, email or SMS
System to give a flexibility to suppress the claims notification for any specifc claim based on the request by the claimiant/policyholder</t>
    </r>
    <r>
      <rPr>
        <b/>
        <sz val="8"/>
        <color theme="1"/>
        <rFont val="Calibri"/>
        <family val="2"/>
      </rPr>
      <t xml:space="preserve"> (SG IL)
</t>
    </r>
    <r>
      <rPr>
        <sz val="8"/>
        <color theme="1"/>
        <rFont val="Calibri"/>
        <family val="2"/>
      </rPr>
      <t xml:space="preserve">System to also check the agent record for terminated agents and block the notification for terminated agents. The list of terminated agents can be maintained within or outside the claims system </t>
    </r>
    <r>
      <rPr>
        <b/>
        <sz val="8"/>
        <color theme="1"/>
        <rFont val="Calibri"/>
        <family val="2"/>
      </rPr>
      <t>(SG IL)</t>
    </r>
  </si>
  <si>
    <r>
      <rPr>
        <b/>
        <sz val="8"/>
        <color theme="1"/>
        <rFont val="Calibri"/>
        <family val="2"/>
        <scheme val="minor"/>
      </rPr>
      <t>Death claims registration with TPD payment on previous pendiny claims payment (SG IL):</t>
    </r>
    <r>
      <rPr>
        <b/>
        <sz val="11"/>
        <color theme="1"/>
        <rFont val="Calibri"/>
        <family val="2"/>
        <scheme val="minor"/>
      </rPr>
      <t xml:space="preserve">
</t>
    </r>
    <r>
      <rPr>
        <sz val="8"/>
        <color theme="1"/>
        <rFont val="Calibri"/>
        <family val="2"/>
        <scheme val="minor"/>
      </rPr>
      <t xml:space="preserve">System should auto terminate the TPD payment when Death claims registed for the insured. System to check in case there are recurring payment open for hte member and cancel those payments manually.
System should pick the the balance SI as the adjusted amount and apply the amount at beneift level for payment.
</t>
    </r>
    <r>
      <rPr>
        <b/>
        <sz val="8"/>
        <color theme="1"/>
        <rFont val="Calibri"/>
        <family val="2"/>
        <scheme val="minor"/>
      </rPr>
      <t xml:space="preserve">
Unit Linked Transaction: </t>
    </r>
    <r>
      <rPr>
        <sz val="8"/>
        <color theme="1"/>
        <rFont val="Calibri"/>
        <family val="2"/>
        <scheme val="minor"/>
      </rPr>
      <t xml:space="preserve">System to allow the claims registration in case there is unit linked transaction pending and should auto trigger the selling notification to PAS or finance team as per the local process </t>
    </r>
  </si>
  <si>
    <r>
      <rPr>
        <b/>
        <sz val="8"/>
        <rFont val="Calibri"/>
        <family val="2"/>
        <scheme val="minor"/>
      </rPr>
      <t>Batch Processing:</t>
    </r>
    <r>
      <rPr>
        <sz val="8"/>
        <rFont val="Calibri"/>
        <family val="2"/>
        <scheme val="minor"/>
      </rPr>
      <t xml:space="preserve">
System to have the capability to accumulate the jobs triggered by claims handlers and do the bulk processing/ batch processing at the end of the day.
Ex: Request for Pending documents trigged through the day. System to generate all the letters as per the batch
Release Claims: run a batch job by CS Client to release pending claims by Pending Reason (Hold claim)
Batch job should accompany with a report listing the results of the batch job
All the batch processing rules and parameters to be finalised by business. 
</t>
    </r>
    <r>
      <rPr>
        <b/>
        <sz val="8"/>
        <rFont val="Calibri"/>
        <family val="2"/>
        <scheme val="minor"/>
      </rPr>
      <t xml:space="preserve">SG IL: </t>
    </r>
    <r>
      <rPr>
        <sz val="8"/>
        <rFont val="Calibri"/>
        <family val="2"/>
        <scheme val="minor"/>
      </rPr>
      <t xml:space="preserve">All the payments to hospitals (all Medishield hospitals) driven by hospital codes have to follow the day end processing. System to compile all the claims payment vs shortfall payments per claim per hospital and produce a net payable report. Sytem to perform Accounts payable and Accounts receivable entires to pay net off the payment and correspondinly pass AP/ AR entries to finance and claims system. </t>
    </r>
  </si>
  <si>
    <t>HLBR_Gen_0037</t>
  </si>
  <si>
    <r>
      <rPr>
        <b/>
        <sz val="8"/>
        <rFont val="Calibri"/>
        <family val="2"/>
        <scheme val="minor"/>
      </rPr>
      <t>Payment Batch Processing for Medishield hospitals:</t>
    </r>
    <r>
      <rPr>
        <sz val="8"/>
        <rFont val="Calibri"/>
        <family val="2"/>
        <scheme val="minor"/>
      </rPr>
      <t xml:space="preserve">
</t>
    </r>
    <r>
      <rPr>
        <b/>
        <sz val="8"/>
        <rFont val="Calibri"/>
        <family val="2"/>
        <scheme val="minor"/>
      </rPr>
      <t xml:space="preserve">SG IL: </t>
    </r>
    <r>
      <rPr>
        <sz val="8"/>
        <rFont val="Calibri"/>
        <family val="2"/>
        <scheme val="minor"/>
      </rPr>
      <t>All the payments to hospitals (all Medishield hospitals) driven by hospital codes have to follow the day end processing. System to compile all the claims payment vs shortfall payments per claim per hospital and produce a net payable report. Sytem to perform Accounts payable and Accounts receivable entires to pay net off the payment and correspondinly pass AP/ AR entries to finance and claims system at benefit/ benefitand claims level.
detailed Business rules to be defind later with business</t>
    </r>
  </si>
  <si>
    <t>HLBR_Adj_0043</t>
  </si>
  <si>
    <r>
      <rPr>
        <b/>
        <sz val="8"/>
        <color rgb="FF000000"/>
        <rFont val="Calibri"/>
        <family val="2"/>
      </rPr>
      <t>Assessment XML(Medinet) SG IL:</t>
    </r>
    <r>
      <rPr>
        <sz val="8"/>
        <color rgb="FF000000"/>
        <rFont val="Calibri"/>
        <family val="2"/>
      </rPr>
      <t xml:space="preserve"> 
</t>
    </r>
    <r>
      <rPr>
        <b/>
        <sz val="8"/>
        <color rgb="FF000000"/>
        <rFont val="Calibri"/>
        <family val="2"/>
      </rPr>
      <t>Auto submission:</t>
    </r>
    <r>
      <rPr>
        <sz val="8"/>
        <color rgb="FF000000"/>
        <rFont val="Calibri"/>
        <family val="2"/>
      </rPr>
      <t xml:space="preserve"> System to have the capabilities to allow claims handlers to  upload  XML file downloaded from Medinet and allow it automatically submit the claims in the claims platform. System to show error report in case the mandatory data is missing for every unsuccessful claims 
</t>
    </r>
    <r>
      <rPr>
        <b/>
        <sz val="8"/>
        <color rgb="FF000000"/>
        <rFont val="Calibri"/>
        <family val="2"/>
      </rPr>
      <t xml:space="preserve">Auto registration: </t>
    </r>
    <r>
      <rPr>
        <sz val="8"/>
        <color rgb="FF000000"/>
        <rFont val="Calibri"/>
        <family val="2"/>
      </rPr>
      <t xml:space="preserve">Once the XML file is updated on the claims system, system to have check for auto registration based on validation rules. System to throw validation errors for every claim that has not been successfully registered and all claims handlers to manually check the rejected cases before compiling the overall submission and rejected registration report. Once all validation is manually confirmed by claims handler, System to generate the final report of all successful and unsuccessful ( with reasons) for claims handler to upload the file back on Medinet.
</t>
    </r>
    <r>
      <rPr>
        <b/>
        <sz val="8"/>
        <color rgb="FF000000"/>
        <rFont val="Calibri"/>
        <family val="2"/>
      </rPr>
      <t>Auto assessment</t>
    </r>
    <r>
      <rPr>
        <sz val="8"/>
        <color rgb="FF000000"/>
        <rFont val="Calibri"/>
        <family val="2"/>
      </rPr>
      <t xml:space="preserve">: System to automatically run the auto assessment rules to proceed for the payment.  system to automatically identify the risk score  for every individual claim and assign it to claims handler in case the risk score for a particular claim is high. 
</t>
    </r>
    <r>
      <rPr>
        <b/>
        <sz val="8"/>
        <color rgb="FF000000"/>
        <rFont val="Calibri"/>
        <family val="2"/>
      </rPr>
      <t xml:space="preserve">Auto assessment reporting: </t>
    </r>
    <r>
      <rPr>
        <sz val="8"/>
        <color rgb="FF000000"/>
        <rFont val="Calibri"/>
        <family val="2"/>
      </rPr>
      <t xml:space="preserve">System to generate a report the number of cases STPs vs assigned to claims handlers for manual assessment.
System to retain the batch ID number can be mapped back to transaction number for reconciliation and traceability, once the response is received for the provider in the pending cases (rejected during registration) system to reconcile once all the claims has been successfully registered in the system and generate a final report of total uploaded vs total registered using the same batch ID of XML file. 
</t>
    </r>
  </si>
  <si>
    <r>
      <rPr>
        <b/>
        <sz val="8"/>
        <color rgb="FF000000"/>
        <rFont val="Calibri"/>
        <family val="2"/>
      </rPr>
      <t>Disability Number linked to same disability:</t>
    </r>
    <r>
      <rPr>
        <sz val="8"/>
        <color rgb="FF000000"/>
        <rFont val="Calibri"/>
        <family val="2"/>
      </rPr>
      <t xml:space="preserve">
Ability to generate a sub disability number  for same disability for successive claims after completing claims registration that will enable the system to map back the amount already paid under the same coverage and corresponding limit.
Ex:
For claims submitted within the 90 days system can automatically generate the sub disability for the same disability. Counting of 90 days will be inclusive of IP and OP claims. The calculation of the limit will be only based on IP Claims.  
System to have flexibility for claims handler to delink or link the new disability for successive claims as necessary (outliers from system) 
</t>
    </r>
    <r>
      <rPr>
        <b/>
        <sz val="8"/>
        <color rgb="FF000000"/>
        <rFont val="Calibri"/>
        <family val="2"/>
      </rPr>
      <t>Delinking of linked claim</t>
    </r>
    <r>
      <rPr>
        <sz val="8"/>
        <color rgb="FF000000"/>
        <rFont val="Calibri"/>
        <family val="2"/>
      </rPr>
      <t xml:space="preserve">: System to allow claims handler to delink the claim that was linked by the system under same disability and recalculate the benefit limit again. System to generate the new claim number based on the claims documents and past history. ( Claim can be linked under different disability or can be registered as different disability altogether). System to support the contact center to support the claims enquiry based on previous claims number exchanged with the claims handlers.
</t>
    </r>
    <r>
      <rPr>
        <b/>
        <sz val="8"/>
        <color rgb="FF000000"/>
        <rFont val="Calibri"/>
        <family val="2"/>
      </rPr>
      <t>Linking of claim:</t>
    </r>
    <r>
      <rPr>
        <sz val="8"/>
        <color rgb="FF000000"/>
        <rFont val="Calibri"/>
        <family val="2"/>
      </rPr>
      <t xml:space="preserve"> System to allow claims handler to link the claim with previous disability in case system didnt link it with previous claims and recalculate the benefit limit again.
</t>
    </r>
    <r>
      <rPr>
        <b/>
        <sz val="8"/>
        <color rgb="FF000000"/>
        <rFont val="Calibri"/>
        <family val="2"/>
      </rPr>
      <t xml:space="preserve">Reopening of previous closed claims: 
Scenario 1: </t>
    </r>
    <r>
      <rPr>
        <sz val="8"/>
        <color rgb="FF000000"/>
        <rFont val="Calibri"/>
        <family val="2"/>
      </rPr>
      <t>System to allow reopening of  last closed claim based on the appeal from claimant/member and system to auto refresh the limits and claims accumulation once the reopened case is closed for successive claims.
S</t>
    </r>
    <r>
      <rPr>
        <b/>
        <sz val="8"/>
        <color rgb="FF000000"/>
        <rFont val="Calibri"/>
        <family val="2"/>
      </rPr>
      <t>cenario 2:</t>
    </r>
    <r>
      <rPr>
        <sz val="8"/>
        <color rgb="FF000000"/>
        <rFont val="Calibri"/>
        <family val="2"/>
      </rPr>
      <t xml:space="preserve"> System to allow reopening of any previous claims (middle claim). System to generate the report of all the impacted claims due to reopening of any middle claims for claim handler reference. while reopening of any middle claim system to consider the limit already exhausted for all the next closed claims as the intention is not to reopn the previosuly closed claims if there is no implication. Claim handler to manually reopen all the claims based on the report and take appropriate actions.</t>
    </r>
    <r>
      <rPr>
        <b/>
        <sz val="8"/>
        <color rgb="FF000000"/>
        <rFont val="Calibri"/>
        <family val="2"/>
      </rPr>
      <t xml:space="preserve"> </t>
    </r>
    <r>
      <rPr>
        <sz val="8"/>
        <color rgb="FF000000"/>
        <rFont val="Calibri"/>
        <family val="2"/>
      </rPr>
      <t xml:space="preserve">
Business Rules for same disability to be defined later with users. </t>
    </r>
  </si>
  <si>
    <r>
      <rPr>
        <b/>
        <sz val="8"/>
        <rFont val="Calibri"/>
        <family val="2"/>
        <scheme val="minor"/>
      </rPr>
      <t xml:space="preserve">Rating: 
</t>
    </r>
    <r>
      <rPr>
        <sz val="8"/>
        <rFont val="Calibri"/>
        <family val="2"/>
        <scheme val="minor"/>
      </rPr>
      <t xml:space="preserve">System to auto evaluate the customer, broker, agent and provider based on the red flags/indicators and based on the outcome of the claim. Incase the claim is declined due to fraud indicator, and indicator was due to agent, it should rate the agent accordingly and backfill the data in the overall rating of the agent (need to define with the business the data source of different entities with business).
System to automatically flag the case at high alert if he next claim received from any flagged agent/briker/ provider/ customer.
storage of data base on agent/broker/claimant for rating to be agreed with the business. </t>
    </r>
  </si>
  <si>
    <r>
      <t xml:space="preserve">TPA Movement:
</t>
    </r>
    <r>
      <rPr>
        <sz val="8"/>
        <color theme="1"/>
        <rFont val="Calibri"/>
        <family val="2"/>
        <scheme val="minor"/>
      </rPr>
      <t xml:space="preserve">Movement of policy from one TPA to another TPA is to be suported by effective date. System to support the benefit calculation, eligibility and payee as per the incurred date. In case the claim is incurred before the TPA change and submitted after the TPA change, system to pay the benefits based on the previous TPA arrangements </t>
    </r>
    <r>
      <rPr>
        <b/>
        <sz val="8"/>
        <color theme="1"/>
        <rFont val="Calibri"/>
        <family val="2"/>
        <scheme val="minor"/>
      </rPr>
      <t>(SG CSSpecific)</t>
    </r>
    <r>
      <rPr>
        <sz val="8"/>
        <color theme="1"/>
        <rFont val="Calibri"/>
        <family val="2"/>
        <scheme val="minor"/>
      </rPr>
      <t xml:space="preserve">
</t>
    </r>
    <r>
      <rPr>
        <b/>
        <sz val="8"/>
        <color theme="1"/>
        <rFont val="Calibri"/>
        <family val="2"/>
        <scheme val="minor"/>
      </rPr>
      <t>Fraud rules to support EDI:</t>
    </r>
    <r>
      <rPr>
        <sz val="8"/>
        <color theme="1"/>
        <rFont val="Calibri"/>
        <family val="2"/>
        <scheme val="minor"/>
      </rPr>
      <t xml:space="preserve"> To be supported by various fraud rules for claims handlers reference. Ex. frequent member visiting same clinic or visiting multiple clinic same day etc.
EDI Format: to be simplified across all the TPAs to support STP
Detail rules ot be defind with the business  </t>
    </r>
  </si>
  <si>
    <t>HLBR_PM_30</t>
  </si>
  <si>
    <r>
      <rPr>
        <b/>
        <sz val="8"/>
        <rFont val="Calibri"/>
        <family val="2"/>
      </rPr>
      <t xml:space="preserve">Doctors Login &amp; display (SG IL): </t>
    </r>
    <r>
      <rPr>
        <sz val="8"/>
        <rFont val="Calibri"/>
        <family val="2"/>
      </rPr>
      <t xml:space="preserve">
System to be allow a doctor to havea unique login ID, that will allow him/her to view all the contract/claim/ billing details for multiple locations/multiple panel.
Provider Management Module to be integrated with Mobile app and Website for display to the insured. Doctor/panel in PM to have effective display date and termination date. There might be instances when doctor termination date is in the future and we dont want to display the doctor under the panel list.
This will also to cater for publish date for Mobile app and Website. effective date of the doctor might be different from display date.</t>
    </r>
  </si>
  <si>
    <r>
      <t xml:space="preserve">Fee Structure: (SG IL)
Special Agreement: </t>
    </r>
    <r>
      <rPr>
        <sz val="8"/>
        <rFont val="Calibri"/>
        <family val="2"/>
      </rPr>
      <t>PM system to support in case there is a pripor agreement for any provider/ doctor for any special treatment for specifc policy or insured. System while validating the fee structure with contractual agreed fee to look for any special arrangement for the insured for a particual treatment captured in PM module first and do the validation upfront on agreed fee rather that contractual agreed fee</t>
    </r>
  </si>
  <si>
    <r>
      <t xml:space="preserve">Fee Structure:
</t>
    </r>
    <r>
      <rPr>
        <sz val="8"/>
        <rFont val="Calibri"/>
        <family val="2"/>
      </rPr>
      <t xml:space="preserve">'Agree Fee Schedule under contract is to manage the agreed fee, payment cycle and payment method for the payment to provider.                                           
- Agreed fee to be paid to provider based on the type of fee schedule and agree service.  Fee Schedule type includes agree fee for service, package pricing, tier fee, discount on service, volume discount, captiated service and  Per diem charge.  Agree fee structure shall base on service code, diagnosis code, procedure code, lab code, imaging code, drug code  etc.                                                                                                                                                      
-Payment cycle is defined as weekly, twice a month ( xth day of each month), quarterly.  Payment cycle is used to incentify provider by providing quick cash flow.  The higher the rank of preferred provider, the quicker the payment term. claim settlement is trigger base on the select payment cycle.                                     
-Payment method is default as auto pay.  PM team may change the payment method to cheque or fund transfer for exceptional case(s).     
-Claim adjudication shall check presented amount againist agree fee schedule,  If there is any discrepancy between actual charge and agreed rate, Adjusted amount shall be updated base on agree fee unless clarification on service is required, if fee negotiation is required,  case is escalated to provider team for fee negotiation. PM is notified a job task of fee follow up.   Otherwise, Benefit eligibility shall check against agreed fee 
Fee structure to be aligned with benfit set up specially to cater for </t>
    </r>
    <r>
      <rPr>
        <b/>
        <sz val="8"/>
        <rFont val="Calibri"/>
        <family val="2"/>
      </rPr>
      <t>(SG IL)</t>
    </r>
    <r>
      <rPr>
        <sz val="8"/>
        <rFont val="Calibri"/>
        <family val="2"/>
      </rPr>
      <t xml:space="preserve">
- Modifier
- Same incision (percentage of SI)
- Material Exclusion 
- Pre exisiting condiiton etc
* Fee Schedule history is maintained in the system.</t>
    </r>
  </si>
  <si>
    <t xml:space="preserve">Appointment Management </t>
  </si>
  <si>
    <r>
      <t xml:space="preserve">Appointment management: (SG IL)
</t>
    </r>
    <r>
      <rPr>
        <sz val="8"/>
        <rFont val="Calibri"/>
        <family val="2"/>
      </rPr>
      <t xml:space="preserve">System to be integrated with Mobile app and website for customers/insured to select panel doctors and book the scheule on their app. PM module to generate a queue for PM team to validate and confirm the appiontment with provider and customer. System to be able  push the notification on mobile app or Website (MyPage) after the appointment is confirmed 
This capability in both for appointment and cancellation of appointment </t>
    </r>
  </si>
  <si>
    <t>HLBR_PM_031</t>
  </si>
  <si>
    <t>HLBR_PM_32</t>
  </si>
  <si>
    <t xml:space="preserve">AIA Weblink
Provider portal 
Mobile apps
AIA My PAGE 
Mediconnect - eLOG/e -referral/ GP portal
</t>
  </si>
  <si>
    <r>
      <rPr>
        <b/>
        <sz val="8"/>
        <rFont val="Calibri"/>
        <family val="2"/>
      </rPr>
      <t>Customer Segmentation:</t>
    </r>
    <r>
      <rPr>
        <sz val="8"/>
        <rFont val="Calibri"/>
        <family val="2"/>
      </rPr>
      <t xml:space="preserve">
'Ability to indicate customer segments  (e.g. VIP/Gold customer, customer with previous Complaint history)  during FNOL or Registration and offer tailor made claims handling for specific customer segment
System to detect if claim is linked to what Agency (Claims servicing agent/MDRT/ Bancassurance/ direct client request/black listed agent - selling suspension)/Takaful
System to add complexity/risk rating in case of any of the above trigger for claims assignment.
System to flag the case with relevant information through out the life cycle of the claim
Rules to be identified later</t>
    </r>
  </si>
  <si>
    <r>
      <rPr>
        <b/>
        <sz val="8"/>
        <rFont val="Calibri"/>
        <family val="2"/>
        <scheme val="minor"/>
      </rPr>
      <t>Policy Setup correction:</t>
    </r>
    <r>
      <rPr>
        <sz val="8"/>
        <rFont val="Calibri"/>
        <family val="2"/>
        <scheme val="minor"/>
      </rPr>
      <t xml:space="preserve"> 
In case of change in polcy setup changes made by policy admin team (PMM) for any active policy during the current policy year, system to identify all the claims settled/registered during the policy year and generate a report of all those claims.
System to have the functionality to recalculate the accumulation of benefits based on the new changes made at policy/plan level to support future claims assessment
A comparision report to be generated for all the claims where there is any chnage in the claims adjusted amount from the previosuly paid amount to new adjusted amount.
Claims handlers to reopn the claims one by one where ever there is a change and follow the assesment validation process.</t>
    </r>
  </si>
  <si>
    <r>
      <rPr>
        <b/>
        <sz val="8"/>
        <rFont val="Calibri"/>
        <family val="2"/>
      </rPr>
      <t>Clinical Assessment Check:</t>
    </r>
    <r>
      <rPr>
        <sz val="8"/>
        <rFont val="Calibri"/>
        <family val="2"/>
      </rPr>
      <t xml:space="preserve">
 System should be able to support the following:
• Clinical protocol rules (appropriate treatment)
• Exclusion list (Medical condition set up in exclusion table)
• Imposed exclusion (personal details)
• Diagnosis-procedure mapping
• Treatment per gender
• Treatment per age
• Medical condition under waiting period (set up in waiting period table)
• LOS table
Need to define business rules with SMEs
</t>
    </r>
  </si>
  <si>
    <t>PAS/Claims System
Case 360?</t>
  </si>
  <si>
    <t>IL, Compass, Case 360?</t>
  </si>
  <si>
    <r>
      <rPr>
        <b/>
        <sz val="8"/>
        <color rgb="FF000000"/>
        <rFont val="Calibri"/>
        <family val="2"/>
      </rPr>
      <t>Advance Payment for (Major claims) Disability Claims:</t>
    </r>
    <r>
      <rPr>
        <sz val="8"/>
        <color rgb="FF000000"/>
        <rFont val="Calibri"/>
        <family val="2"/>
      </rPr>
      <t xml:space="preserve"> System to automatically calculate the advance payment benefits to avoid manual calculations, advance payment rules are defined as per product benefit schedule.
</t>
    </r>
    <r>
      <rPr>
        <b/>
        <sz val="8"/>
        <color rgb="FF000000"/>
        <rFont val="Calibri"/>
        <family val="2"/>
      </rPr>
      <t>SI Adjustment:</t>
    </r>
    <r>
      <rPr>
        <sz val="8"/>
        <color rgb="FF000000"/>
        <rFont val="Calibri"/>
        <family val="2"/>
      </rPr>
      <t xml:space="preserve"> System to automatically update the SI once the advance payment is made to the insured. System to follos policy schedule for SI adjustment 
Agent Commission system to be interfaced with PAS system to manage the agent commission collection and it should be linked with billing system  
</t>
    </r>
    <r>
      <rPr>
        <b/>
        <sz val="8"/>
        <color rgb="FF000000"/>
        <rFont val="Calibri"/>
        <family val="2"/>
      </rPr>
      <t xml:space="preserve">LTD Benefits calculations: 
</t>
    </r>
    <r>
      <rPr>
        <sz val="8"/>
        <color rgb="FF000000"/>
        <rFont val="Calibri"/>
        <family val="2"/>
      </rPr>
      <t xml:space="preserve">System to automatically calculate LTD benefits for CS policies. Majority of the policies have standard way of calculating the benefit. Auto Rules based calculation to be supported by system. 
System to support indexation calculation captured at policy/plan level in the policy schedule
Some additional parameters to be considered while building rules as below:
- Date of disability for prorated calculation
- Type of policy for calculation rules
- Plan level calculation rules etc. 
</t>
    </r>
    <r>
      <rPr>
        <b/>
        <sz val="8"/>
        <color rgb="FF000000"/>
        <rFont val="Calibri"/>
        <family val="2"/>
      </rPr>
      <t>LTD IL policies</t>
    </r>
    <r>
      <rPr>
        <sz val="8"/>
        <color rgb="FF000000"/>
        <rFont val="Calibri"/>
        <family val="2"/>
      </rPr>
      <t xml:space="preserve">: Sum assured will break into installment and payout. LTP will payout first base on installment payout type( 2 year/ 5year/ 10year), DI payout will kick in after LTP payout, 2 type of DI (11 year &amp; 6 year) </t>
    </r>
    <r>
      <rPr>
        <b/>
        <sz val="8"/>
        <color rgb="FF000000"/>
        <rFont val="Calibri"/>
        <family val="2"/>
      </rPr>
      <t>SG IL</t>
    </r>
    <r>
      <rPr>
        <sz val="8"/>
        <color rgb="FF000000"/>
        <rFont val="Calibri"/>
        <family val="2"/>
      </rPr>
      <t xml:space="preserve">
</t>
    </r>
    <r>
      <rPr>
        <b/>
        <sz val="8"/>
        <color rgb="FF000000"/>
        <rFont val="Calibri"/>
        <family val="2"/>
      </rPr>
      <t>GPA Benefits:</t>
    </r>
    <r>
      <rPr>
        <sz val="8"/>
        <color rgb="FF000000"/>
        <rFont val="Calibri"/>
        <family val="2"/>
      </rPr>
      <t xml:space="preserve"> To cater for percentage of SI which can be higher that total sum insured and system to support SI adjustment accordingly
</t>
    </r>
    <r>
      <rPr>
        <b/>
        <sz val="8"/>
        <color rgb="FF000000"/>
        <rFont val="Calibri"/>
        <family val="2"/>
      </rPr>
      <t xml:space="preserve">Death Benefits: </t>
    </r>
    <r>
      <rPr>
        <sz val="8"/>
        <color rgb="FF000000"/>
        <rFont val="Calibri"/>
        <family val="2"/>
      </rPr>
      <t xml:space="preserve">cordination of benefits to be supported between IL and CS policies. System to support the payee limits defind at policy level and shoould split the payment based on payee priority and limit.
</t>
    </r>
    <r>
      <rPr>
        <b/>
        <sz val="8"/>
        <color rgb="FF000000"/>
        <rFont val="Calibri"/>
        <family val="2"/>
      </rPr>
      <t xml:space="preserve">Mortgage Calculation </t>
    </r>
    <r>
      <rPr>
        <sz val="8"/>
        <color rgb="FF000000"/>
        <rFont val="Calibri"/>
        <family val="2"/>
      </rPr>
      <t>Calculation &amp; adjustment on mortgage loan payment (Death &amp; Disability) -</t>
    </r>
    <r>
      <rPr>
        <b/>
        <sz val="8"/>
        <color rgb="FF000000"/>
        <rFont val="Calibri"/>
        <family val="2"/>
      </rPr>
      <t xml:space="preserve"> SG IL</t>
    </r>
    <r>
      <rPr>
        <sz val="8"/>
        <color rgb="FF000000"/>
        <rFont val="Calibri"/>
        <family val="2"/>
      </rPr>
      <t xml:space="preserve">
</t>
    </r>
    <r>
      <rPr>
        <b/>
        <sz val="8"/>
        <color rgb="FF000000"/>
        <rFont val="Calibri"/>
        <family val="2"/>
      </rPr>
      <t xml:space="preserve">Bonus Calculation: </t>
    </r>
    <r>
      <rPr>
        <sz val="8"/>
        <color rgb="FF000000"/>
        <rFont val="Calibri"/>
        <family val="2"/>
      </rPr>
      <t>System to auto calculate the righ bonus amount based on incurred date and adjust the bonus appropriately</t>
    </r>
    <r>
      <rPr>
        <b/>
        <sz val="8"/>
        <color rgb="FF000000"/>
        <rFont val="Calibri"/>
        <family val="2"/>
      </rPr>
      <t xml:space="preserve"> (SG IL)</t>
    </r>
    <r>
      <rPr>
        <sz val="8"/>
        <color rgb="FF000000"/>
        <rFont val="Calibri"/>
        <family val="2"/>
      </rPr>
      <t xml:space="preserve">
</t>
    </r>
    <r>
      <rPr>
        <b/>
        <sz val="8"/>
        <color rgb="FF000000"/>
        <rFont val="Calibri"/>
        <family val="2"/>
      </rPr>
      <t>Full set of rules to be defined later and rules are country and business specific</t>
    </r>
  </si>
  <si>
    <t>Status - HK OSS</t>
  </si>
  <si>
    <t>Status - HK BU IL</t>
  </si>
  <si>
    <t>Status - HK BU CS</t>
  </si>
  <si>
    <t>Status - SG BU IL</t>
  </si>
  <si>
    <t>Status - SG BU CS</t>
  </si>
  <si>
    <t>Reviewer's Comments - HK OSS</t>
  </si>
  <si>
    <t>Reviewer's Comments - HK BU IL</t>
  </si>
  <si>
    <t>Reviewer's Comments - HK BU CS</t>
  </si>
  <si>
    <t>Reviewer's Comments - SG BU IL</t>
  </si>
  <si>
    <t>Reviewer's Comments - SG BU CS</t>
  </si>
  <si>
    <r>
      <rPr>
        <b/>
        <sz val="8"/>
        <color rgb="FF000000"/>
        <rFont val="Calibri"/>
        <family val="2"/>
      </rPr>
      <t>Claims Summary</t>
    </r>
    <r>
      <rPr>
        <sz val="8"/>
        <color rgb="FF000000"/>
        <rFont val="Calibri"/>
        <family val="2"/>
      </rPr>
      <t xml:space="preserve"> ( to display at any time key details relevant for that claim. It is the snapshot of claim summary at any given point in time. this screen will be populated automatically wither from PAS or Claims data already entered ny admin team. Some of the information is editable on the screen as per the assement outcome. 
a) Customer profile (read only)
b) Return Receipts to Member
c) effective date (read only)
d) last claim document received date (read only)
e) All linked policies ( can be edited)
f)  Medical information (validation and editable)
g) rider/add on benefits (can be edited)
f) red flag (validation only)
Claims Screen to have all the information which is required for the claims assessment in the same data capture screen
details of the screen to be defined in details with the business (40-50 fields)</t>
    </r>
  </si>
  <si>
    <t>Interface with Annuity System to cater Annuity Payment
* Added by HK IL</t>
  </si>
  <si>
    <t>Front End Payment Checking before transactions uploading to Backend 
* Added by HK IL</t>
  </si>
  <si>
    <t>Manual Settlement
* Added by HK IL</t>
  </si>
  <si>
    <t>Cheque Printing and Cheque Enquiry System
* Added by HK IL</t>
  </si>
  <si>
    <t>DJ/PJ Module
*Added by HK BU IL</t>
  </si>
  <si>
    <t>HLBR_Fraud_0009</t>
  </si>
  <si>
    <t xml:space="preserve">Functionality required. </t>
  </si>
  <si>
    <t>Functionality required.</t>
  </si>
  <si>
    <t>Functionality required. But on the claims enquiry function (in red): Recommend that non-claims dept e.g. call centre, enquire claim status and notes from IL / Case 360 / other platforms.</t>
  </si>
  <si>
    <t>Functionality required, but to deliberate whether to have this function in Case 360 to manage.
Ongoing project: Case 360</t>
  </si>
  <si>
    <t>Functionality required. To check if Policy Admin System has this setup.</t>
  </si>
  <si>
    <t xml:space="preserve">Only for editable letters. </t>
  </si>
  <si>
    <t>Functionality required, but to deliberate whether certain functionalities e.g. capture date and time attributes of the document, should be managed in Case 360.
Ongoing project: Case 360</t>
  </si>
  <si>
    <t>Funtionality required.</t>
  </si>
  <si>
    <t>Nice to have.</t>
  </si>
  <si>
    <t>Mentioned previously. Refer to HLBR_Reg_0005</t>
  </si>
  <si>
    <t xml:space="preserve">Functionality required, for death claim management. </t>
  </si>
  <si>
    <t>Functionality required</t>
  </si>
  <si>
    <t>More for provider management</t>
  </si>
  <si>
    <t>Functionality required, for Healthshield efile claims, contra payment approach.</t>
  </si>
  <si>
    <t>Bunisess</t>
  </si>
  <si>
    <t>Business Area</t>
  </si>
  <si>
    <t>HK BU CS</t>
  </si>
  <si>
    <t>HK BU IL</t>
  </si>
  <si>
    <t>SG BU IL</t>
  </si>
  <si>
    <t>SG BU CS</t>
  </si>
  <si>
    <t>HK OSS</t>
  </si>
  <si>
    <t>ALL</t>
  </si>
  <si>
    <t>Provider Mgmt</t>
  </si>
  <si>
    <t>Claims Submission</t>
  </si>
  <si>
    <t>Fraud</t>
  </si>
  <si>
    <t>All - Except Provider Mgmt</t>
  </si>
  <si>
    <t>All</t>
  </si>
  <si>
    <t>No Respond</t>
  </si>
  <si>
    <t>Fee StructureGeneral-All</t>
  </si>
  <si>
    <t>Provider ProfileGeneral-All</t>
  </si>
  <si>
    <t>Eligibility CheckGeneral-All</t>
  </si>
  <si>
    <t>Claims AssessmentGeneral</t>
  </si>
  <si>
    <t>Appointment Management General-All</t>
  </si>
  <si>
    <t>Document Submission</t>
  </si>
  <si>
    <t>MedisaveGeneral</t>
  </si>
  <si>
    <r>
      <rPr>
        <b/>
        <sz val="8"/>
        <rFont val="Calibri"/>
        <family val="2"/>
      </rPr>
      <t>Online Submission:</t>
    </r>
    <r>
      <rPr>
        <sz val="8"/>
        <rFont val="Calibri"/>
        <family val="2"/>
      </rPr>
      <t xml:space="preserve"> 'Claim system to be integrated with various web portals to allow electronic submission of claims 
1. Data capture from member via AIA member benefit mobile apps 
2. Data capture from provider via Provider portal/AIA Web link/eLOG
3. Data capture from MyPage
4. Agency Portal for submitting online claims on behalf of their customers.
Push notification to the insured/members in case the reporter is ohter than the member
Field to field mapping to be identified with the SMEs
</t>
    </r>
    <r>
      <rPr>
        <sz val="8"/>
        <color rgb="FFFF0000"/>
        <rFont val="Calibri"/>
        <family val="2"/>
      </rPr>
      <t>Group feedback: HK OSS: Already included. 
HK IL: OCR capability to help capturing the data (Already included)</t>
    </r>
  </si>
  <si>
    <r>
      <rPr>
        <b/>
        <sz val="8"/>
        <rFont val="Calibri"/>
        <family val="2"/>
      </rPr>
      <t>Mandatory vs Non Mandatory Information:</t>
    </r>
    <r>
      <rPr>
        <sz val="8"/>
        <rFont val="Calibri"/>
        <family val="2"/>
      </rPr>
      <t xml:space="preserve">
'Ability to capture claims data in Claims Portal to ensure sufficient information is provided to open the claim.
All Mandatory data information to be captured for online submission else claims cant be submitted 
All Mandatory data (Indexing data)  in case of paper submission to be entered by Document Management team (Kodak Team). Index data such as  1) Policy number/member ID, 2)Treatment incurred date, 3) Provider code (for provider claim) and 4) Total presented amount, 5) Claims Type, 6) Document received date, 7) Agent ID
Indexing tool to be integrated with workflow/claims system.
All mandatory data (medical information data) to be captured by </t>
    </r>
    <r>
      <rPr>
        <b/>
        <sz val="8"/>
        <rFont val="Calibri"/>
        <family val="2"/>
      </rPr>
      <t>Medical team</t>
    </r>
    <r>
      <rPr>
        <sz val="8"/>
        <rFont val="Calibri"/>
        <family val="2"/>
      </rPr>
      <t xml:space="preserve"> before claims registration to help in complexity rating for claims segmentation and assignment. 
</t>
    </r>
    <r>
      <rPr>
        <sz val="8"/>
        <color rgb="FFFF0000"/>
        <rFont val="Calibri"/>
        <family val="2"/>
      </rPr>
      <t>Refer to Supporting Document</t>
    </r>
    <r>
      <rPr>
        <sz val="8"/>
        <rFont val="Calibri"/>
        <family val="2"/>
      </rPr>
      <t xml:space="preserve">
All Non mandatory </t>
    </r>
    <r>
      <rPr>
        <b/>
        <sz val="8"/>
        <rFont val="Calibri"/>
        <family val="2"/>
      </rPr>
      <t>(Billing data)</t>
    </r>
    <r>
      <rPr>
        <sz val="8"/>
        <rFont val="Calibri"/>
        <family val="2"/>
      </rPr>
      <t xml:space="preserve"> to be captured by Admin team before claims registration to help in assessment after claims registration. All customer data including who reported, how reported, relationship with insured and address for communication to be entered by admin team.
 fields to be defined later during. Fields  to support  data analytics for future modelling. (Currently one is used to cater for many input types ex. cert number - future system to defie separate filed for appropriate controls) 
</t>
    </r>
    <r>
      <rPr>
        <sz val="8"/>
        <color rgb="FFFF0000"/>
        <rFont val="Calibri"/>
        <family val="2"/>
      </rPr>
      <t xml:space="preserve">
OSS: Already included. All fields to be elaborated in Functional spec document
HKIL : 1. All fields to be elaborated in Functional spec document
2. Future model will have all the required codes
3. Future model will have all the required codes. Double entry for key data to be defind late in FSD
SG IL : Already Included
SG CS : 1.  To be discussed in FSD 
2. Highly recommned to optimize the resources </t>
    </r>
  </si>
  <si>
    <r>
      <rPr>
        <b/>
        <sz val="8"/>
        <rFont val="Calibri"/>
        <family val="2"/>
      </rPr>
      <t xml:space="preserve">Missing Policy Number or Unclear Policy Number/ Member ID: </t>
    </r>
    <r>
      <rPr>
        <sz val="8"/>
        <rFont val="Calibri"/>
        <family val="2"/>
      </rPr>
      <t xml:space="preserve">'Ability to support registration even though policy number missing/policy number unclear. A claim with temporary or draft status will be created
</t>
    </r>
    <r>
      <rPr>
        <b/>
        <sz val="8"/>
        <rFont val="Calibri"/>
        <family val="2"/>
      </rPr>
      <t>Ex</t>
    </r>
    <r>
      <rPr>
        <sz val="8"/>
        <rFont val="Calibri"/>
        <family val="2"/>
      </rPr>
      <t xml:space="preserve">:
1. System to allow admin team to pend the claim (reason code) and send a request to follow up for getting the right policy number (System to standard template for requesting for policy number)
2. Policy number is missing/ Member ID in the claim form or not clear. 
Ability to close the claim (as rejected) when and temp claim is proven to not be a valid claim
3. Ability to reopen the claim in case document is received after closing the case 
3. Ability to allow claim registration in case there is pending unit transaction if  policy is investment linked policy 
</t>
    </r>
    <r>
      <rPr>
        <sz val="8"/>
        <color rgb="FFFF0000"/>
        <rFont val="Calibri"/>
        <family val="2"/>
      </rPr>
      <t>OSS Already included
HK IL - Need to work with PAS for Major claims
 3. SOD validation and violation
SG CS - agree, Internal assignment to internal team. alreqady included</t>
    </r>
  </si>
  <si>
    <r>
      <rPr>
        <b/>
        <sz val="8"/>
        <rFont val="Calibri"/>
        <family val="2"/>
      </rPr>
      <t>Document Management</t>
    </r>
    <r>
      <rPr>
        <sz val="8"/>
        <rFont val="Calibri"/>
        <family val="2"/>
      </rPr>
      <t xml:space="preserve">: 
'Ability to upload, index, view, download and print (restricted access) any format of documents of a specific claim in claim portal
</t>
    </r>
    <r>
      <rPr>
        <b/>
        <sz val="8"/>
        <rFont val="Calibri"/>
        <family val="2"/>
      </rPr>
      <t>1. Online Submission</t>
    </r>
    <r>
      <rPr>
        <sz val="8"/>
        <rFont val="Calibri"/>
        <family val="2"/>
      </rPr>
      <t xml:space="preserve">: Auto -indexing is enabled through data entry performed by Member/ Insured/Provider for claims submission
</t>
    </r>
    <r>
      <rPr>
        <b/>
        <sz val="8"/>
        <rFont val="Calibri"/>
        <family val="2"/>
      </rPr>
      <t xml:space="preserve">2. Pay and File (Physical document): </t>
    </r>
    <r>
      <rPr>
        <sz val="8"/>
        <rFont val="Calibri"/>
        <family val="2"/>
      </rPr>
      <t xml:space="preserve">
Level 1: Document management team to index the documents after scanning
Level2: detailed data to be captured by the Claims admin team before registration
3.</t>
    </r>
    <r>
      <rPr>
        <b/>
        <sz val="8"/>
        <rFont val="Calibri"/>
        <family val="2"/>
      </rPr>
      <t xml:space="preserve"> Document via email:</t>
    </r>
    <r>
      <rPr>
        <sz val="8"/>
        <rFont val="Calibri"/>
        <family val="2"/>
      </rPr>
      <t xml:space="preserve">  'Ability to index incoming digital documents from email or other channel electronic channel that comes directly to claims handlers
Details rules to be discussed in details with SMES
</t>
    </r>
    <r>
      <rPr>
        <sz val="8"/>
        <color rgb="FFFF0000"/>
        <rFont val="Calibri"/>
        <family val="2"/>
      </rPr>
      <t>OSS - Already included
HK IL : Case 360 will be embidded within GCP. TSS to estimate the cost for integration with Case 360
HK CS: We can only export to either email or DCM. Interface cost of outlook for email to be estimated  
SG CS: To be discussed during FSD for full document management system and working procedure</t>
    </r>
  </si>
  <si>
    <r>
      <rPr>
        <b/>
        <sz val="8"/>
        <rFont val="Calibri"/>
        <family val="2"/>
      </rPr>
      <t>Auto Populate Customer Profile:</t>
    </r>
    <r>
      <rPr>
        <sz val="8"/>
        <rFont val="Calibri"/>
        <family val="2"/>
      </rPr>
      <t xml:space="preserve"> 'Ability to pre-populate customer profile and policy details on registration screen by entering valid policy number or customer information (DOB, ID, gender etc.)
Data will be used for fraud detection and other analytical purposes
E.g.: Gender specific treatment, Age related treatment validation etc.
</t>
    </r>
    <r>
      <rPr>
        <sz val="8"/>
        <color rgb="FFFF0000"/>
        <rFont val="Calibri"/>
        <family val="2"/>
      </rPr>
      <t xml:space="preserve">
HK IL : To be discussed during FSD
SG CS - already included</t>
    </r>
  </si>
  <si>
    <r>
      <rPr>
        <b/>
        <sz val="8"/>
        <color theme="1"/>
        <rFont val="Calibri"/>
        <family val="2"/>
        <scheme val="minor"/>
      </rPr>
      <t>Missing Document:</t>
    </r>
    <r>
      <rPr>
        <sz val="8"/>
        <color theme="1"/>
        <rFont val="Calibri"/>
        <family val="2"/>
        <scheme val="minor"/>
      </rPr>
      <t xml:space="preserve"> 'Ability to automatically identify missing information/document depending on the type of claim, and notify claims handler to request for missing documents from insured/provider (document checklists).
System to also identify is the detailed billing invoice doesnt match with presented amount entered and system to allow admin team to pend the case in case any invoice page is missing before registration of claims
</t>
    </r>
    <r>
      <rPr>
        <b/>
        <sz val="8"/>
        <color theme="1"/>
        <rFont val="Calibri"/>
        <family val="2"/>
        <scheme val="minor"/>
      </rPr>
      <t>Online Submission:</t>
    </r>
    <r>
      <rPr>
        <sz val="8"/>
        <color theme="1"/>
        <rFont val="Calibri"/>
        <family val="2"/>
        <scheme val="minor"/>
      </rPr>
      <t xml:space="preserve"> In case the critical document is missing, system not to allow the member/insured to register the claims through Website/Mob App/Provider portal
</t>
    </r>
    <r>
      <rPr>
        <b/>
        <sz val="8"/>
        <color theme="1"/>
        <rFont val="Calibri"/>
        <family val="2"/>
        <scheme val="minor"/>
      </rPr>
      <t>Paper submission:</t>
    </r>
    <r>
      <rPr>
        <sz val="8"/>
        <color theme="1"/>
        <rFont val="Calibri"/>
        <family val="2"/>
        <scheme val="minor"/>
      </rPr>
      <t xml:space="preserve">
1. System to do the validation basis the type of claim
2. System to check for policy setup for document waiver information (Specialist table for waiver of documents)
details of documents/per claim type/Policy Setup/specialist table to be defined during detail discussions
</t>
    </r>
    <r>
      <rPr>
        <b/>
        <sz val="8"/>
        <color theme="1"/>
        <rFont val="Calibri"/>
        <family val="2"/>
        <scheme val="minor"/>
      </rPr>
      <t xml:space="preserve">
</t>
    </r>
    <r>
      <rPr>
        <sz val="8"/>
        <color rgb="FFFF0000"/>
        <rFont val="Calibri"/>
        <family val="2"/>
        <scheme val="minor"/>
      </rPr>
      <t>HK IL : Already included
SG CS : 1,2,3,4 : Already included</t>
    </r>
  </si>
  <si>
    <r>
      <rPr>
        <b/>
        <sz val="8"/>
        <rFont val="Calibri"/>
        <family val="2"/>
      </rPr>
      <t>Insufficient Mandatory Information:</t>
    </r>
    <r>
      <rPr>
        <sz val="8"/>
        <rFont val="Calibri"/>
        <family val="2"/>
      </rPr>
      <t xml:space="preserve"> 'Ability to capture information during registration even if we have insufficient details to save the captured data so that it can be used to  retrieve the draft claims  to the complete registration once all the details are available.
System to automatically (Transaction ID/scan ID) link the incoming document with the draft claim after receiving the document instead of tagging it as new claim
Different KPIs to be setup for Draft claims for pending reasons to ensure tracking of pending cases and system to trigger the auto reminders for follow up
</t>
    </r>
    <r>
      <rPr>
        <sz val="8"/>
        <color rgb="FFFF0000"/>
        <rFont val="Calibri"/>
        <family val="2"/>
      </rPr>
      <t xml:space="preserve">
CASE 360 solution under GCP
HK IL - Alrready included
HK CS: Part of FSD requirements</t>
    </r>
  </si>
  <si>
    <r>
      <rPr>
        <b/>
        <sz val="8"/>
        <rFont val="Calibri"/>
        <family val="2"/>
      </rPr>
      <t>Pre-existing Condition (Program Reach):</t>
    </r>
    <r>
      <rPr>
        <sz val="8"/>
        <rFont val="Calibri"/>
        <family val="2"/>
      </rPr>
      <t xml:space="preserve"> 'Ability to alert for Pre existing conditions basis business rules. System to link the pre existing conditions to complexity / risk score and assign it to the right claims adjustor. 
</t>
    </r>
    <r>
      <rPr>
        <b/>
        <sz val="8"/>
        <rFont val="Calibri"/>
        <family val="2"/>
      </rPr>
      <t xml:space="preserve">Policy exclusion: </t>
    </r>
    <r>
      <rPr>
        <sz val="8"/>
        <rFont val="Calibri"/>
        <family val="2"/>
      </rPr>
      <t xml:space="preserve">System to idenitfy and highlight in case any of the benefit is under policy exclusion for member or insured. System to raise a flag in case of diagnosis/ treatment is linked to the exclusion captured in PAS. Raised flag to be lnked with the complexity/risk profile of the claim. System to block the payment till the time exclusion flag is removed manully by the claims handler
</t>
    </r>
    <r>
      <rPr>
        <sz val="8"/>
        <color rgb="FFFF0000"/>
        <rFont val="Calibri"/>
        <family val="2"/>
      </rPr>
      <t>HK OSS : Already included
HK CS:  TSS to add - show the effective &amp; end date of the pre-existing period. Part of FSD</t>
    </r>
  </si>
  <si>
    <r>
      <rPr>
        <b/>
        <sz val="8"/>
        <rFont val="Calibri"/>
        <family val="2"/>
      </rPr>
      <t>Late Submission:</t>
    </r>
    <r>
      <rPr>
        <sz val="8"/>
        <rFont val="Calibri"/>
        <family val="2"/>
      </rPr>
      <t xml:space="preserve"> 'Ability to alert the claim handlers in case of late submission of documents (e.g.90 days after the incurred date) 
System to also calculate the total number of days delay after admin team entered the rate of submission of document and perform the subtraction from the current date.
All rejected cases to be validated for special handling instruction captured at policy level.
All rejected cases to be assigned a complexity score/ account manager before declining the claim
</t>
    </r>
    <r>
      <rPr>
        <b/>
        <sz val="8"/>
        <rFont val="Calibri"/>
        <family val="2"/>
      </rPr>
      <t xml:space="preserve">Claims incurred date before policy effective date (takeover policies) : </t>
    </r>
    <r>
      <rPr>
        <sz val="8"/>
        <rFont val="Calibri"/>
        <family val="2"/>
      </rPr>
      <t xml:space="preserve">System to block/(show error message) any claims registration in case the incurred date is before the effective date as a rule.
System to allow the registration of case even before the effective date only in case of takeover policies. System to allow claims registration once the admin team enter the reason as takeover policy reason and make an exgratia payment 
</t>
    </r>
    <r>
      <rPr>
        <sz val="8"/>
        <color rgb="FFFF0000"/>
        <rFont val="Calibri"/>
        <family val="2"/>
      </rPr>
      <t xml:space="preserve">
HK OSS: Already included
HK IL: Business rules  
HK CS : Already included. Late submission to be defined at policy level </t>
    </r>
  </si>
  <si>
    <r>
      <rPr>
        <b/>
        <sz val="8"/>
        <rFont val="Calibri"/>
        <family val="2"/>
      </rPr>
      <t>Member &amp; Policy Benefit Check:</t>
    </r>
    <r>
      <rPr>
        <sz val="8"/>
        <rFont val="Calibri"/>
        <family val="2"/>
      </rPr>
      <t xml:space="preserve">
'Ability to do a basic eligibility check using policy status (e.g. in force at date of accident, policy status (hold), benefit coverage as well as exclusions ), benefit coverage and policy exclusion to determine if the claim is covered
All Policy related data to be brought forward in claims system that will enable Claim handler to do the eligibility check (Policy schedule, endorsements, special handlings if any etc.)
</t>
    </r>
    <r>
      <rPr>
        <b/>
        <sz val="8"/>
        <rFont val="Calibri"/>
        <family val="2"/>
      </rPr>
      <t xml:space="preserve">
System to reject the claim in case: </t>
    </r>
    <r>
      <rPr>
        <sz val="8"/>
        <rFont val="Calibri"/>
        <family val="2"/>
      </rPr>
      <t xml:space="preserve">
No eligible benefits
All benefit exhausted
Member in eligible/terminated
Policy not in force (Treatment date)
System to also check the regulatory requirements (country specific) (AML)
</t>
    </r>
    <r>
      <rPr>
        <sz val="8"/>
        <color rgb="FFFF0000"/>
        <rFont val="Calibri"/>
        <family val="2"/>
      </rPr>
      <t>Hk OSS: Exgratia payment functionality to be enforced for submission/ registerion the claim. all such rejected cases to be routed as per internal busienss rules</t>
    </r>
    <r>
      <rPr>
        <sz val="8"/>
        <rFont val="Calibri"/>
        <family val="2"/>
      </rPr>
      <t xml:space="preserve">
</t>
    </r>
    <r>
      <rPr>
        <sz val="8"/>
        <color rgb="FFFF0000"/>
        <rFont val="Calibri"/>
        <family val="2"/>
      </rPr>
      <t xml:space="preserve">HK IL : Part of FSD
SG IL: GCP to support validation </t>
    </r>
  </si>
  <si>
    <r>
      <t xml:space="preserve">Mailing Address validation : </t>
    </r>
    <r>
      <rPr>
        <sz val="8"/>
        <color rgb="FF000000"/>
        <rFont val="Calibri"/>
        <family val="2"/>
      </rPr>
      <t>System to have the capability to reflect the insured/policy holder address into the claims platform which should be integrated/linked with policy holder address captured in Policy system. 
Address in claims system should always be in sync with policy system.</t>
    </r>
  </si>
  <si>
    <t>Network ManagementGeneral-All</t>
  </si>
  <si>
    <t>Contract Management General-All</t>
  </si>
  <si>
    <t>ValidationGeneral-All</t>
  </si>
  <si>
    <t>Prior ApprovalGeneral-All</t>
  </si>
  <si>
    <t>Claims Data CaptureGeneral-All</t>
  </si>
  <si>
    <t>Claims InformationGeneral-All</t>
  </si>
  <si>
    <t>Claimant MasterGeneral-All</t>
  </si>
  <si>
    <t>Claims RegistrationGeneral</t>
  </si>
  <si>
    <t>Initial reserves calculationsGeneral</t>
  </si>
  <si>
    <t>Fraud detectionGeneral</t>
  </si>
  <si>
    <t>Recovery IdentificationGeneral</t>
  </si>
  <si>
    <t>Reinsurance/coinsurance notificationGeneral</t>
  </si>
  <si>
    <t>Claims segmentationGeneral</t>
  </si>
  <si>
    <t>Claims AssignmentGeneral</t>
  </si>
  <si>
    <t>Confirmation of Loss NotificationGeneral-All</t>
  </si>
  <si>
    <t>Coordination of benefitsGeneral</t>
  </si>
  <si>
    <t>Reserves ManagementGeneral</t>
  </si>
  <si>
    <t>CorrespondenceGeneral</t>
  </si>
  <si>
    <t>Claims document managementGeneral</t>
  </si>
  <si>
    <t>Display claims dataGeneral</t>
  </si>
  <si>
    <t>Claims LitigationGeneral</t>
  </si>
  <si>
    <t>Capture claims dataGeneral</t>
  </si>
  <si>
    <t>Claims DecisionGeneral</t>
  </si>
  <si>
    <t>Claims PaymentGeneral</t>
  </si>
  <si>
    <t>Claims ApprovalGeneral</t>
  </si>
  <si>
    <t>Settlement ReportingGeneral</t>
  </si>
  <si>
    <t>Claims ClosureGeneral</t>
  </si>
  <si>
    <t>Claims ReopenGeneral</t>
  </si>
  <si>
    <t>Fraud DetectionGeneral</t>
  </si>
  <si>
    <t>Fraud InvestigationGeneral</t>
  </si>
  <si>
    <t>RatingGeneral</t>
  </si>
  <si>
    <t>User profileGeneral</t>
  </si>
  <si>
    <t>Claims DetailsGeneral</t>
  </si>
  <si>
    <t>Work plan / Activity DesktopGeneral</t>
  </si>
  <si>
    <t>EscalationGeneral</t>
  </si>
  <si>
    <t>Activity Pattern SetupGeneral</t>
  </si>
  <si>
    <t>Claims Re-assignmentGeneral</t>
  </si>
  <si>
    <t>Holidays setupGeneral</t>
  </si>
  <si>
    <t>Claims documentsGeneral</t>
  </si>
  <si>
    <t>Claims notesGeneral</t>
  </si>
  <si>
    <t>Trigger ActivityGeneral</t>
  </si>
  <si>
    <t>ReservingGeneral</t>
  </si>
  <si>
    <t>Straight Through ProcessingGeneral</t>
  </si>
  <si>
    <t>Inactive claims ManagementGeneral</t>
  </si>
  <si>
    <t>Claims StatusGeneral</t>
  </si>
  <si>
    <t>Claims metricsGeneral</t>
  </si>
  <si>
    <t>Workload monitoringGeneral</t>
  </si>
  <si>
    <t>Claims Sampling for  File ReviewGeneral</t>
  </si>
  <si>
    <t>Audit trailGeneral</t>
  </si>
  <si>
    <t>ReportingGeneral</t>
  </si>
  <si>
    <t>Validation/ reason codesGeneral</t>
  </si>
  <si>
    <t>Authority limitsGeneral</t>
  </si>
  <si>
    <t>Claims archivingGeneral</t>
  </si>
  <si>
    <t>Vendor InformationGeneral</t>
  </si>
  <si>
    <t>Trigger ICFGeneral</t>
  </si>
  <si>
    <t>Customer ComplaintGeneral</t>
  </si>
  <si>
    <t>LanguageGeneral</t>
  </si>
  <si>
    <t>Payment authority: 
Recommended to be set up in IL, as payment feature is common across Life Ops.
Claim authority: 
Design team to deliberate how to integrate claims authority across the 2 platforms. (Manoj: Approved, as we need this for cordiantion of benefits - desing to be deicided later)</t>
  </si>
  <si>
    <t>Archival of documents is recommended to be handled by Case, togerther with the other Life Ops functions.
Design team to deliberate archival of claims data, refer to above point on claim enquiry. HLBR_Gen_0002. 
Manoj: ( Case cant handle document archival, we need a document managment system which will be defined under GCP)</t>
  </si>
  <si>
    <t>Nice to have. Manoj (Approved if it is nice to have)</t>
  </si>
  <si>
    <t>Refer to HLBR_Gen_0002 (Manoj: approved as long as we are building this capability, intent of GCP is the crreate few additonal screens for Contact center)</t>
  </si>
  <si>
    <r>
      <rPr>
        <b/>
        <sz val="8"/>
        <color rgb="FF000000"/>
        <rFont val="Calibri"/>
        <family val="2"/>
      </rPr>
      <t>Assessment Calculation (Adjustment factors): 
(SMM Benefits):</t>
    </r>
    <r>
      <rPr>
        <sz val="8"/>
        <color rgb="FF000000"/>
        <rFont val="Calibri"/>
        <family val="2"/>
      </rPr>
      <t xml:space="preserve"> automatic calculations of adjustment factor in case member is eligible for SMM benefits basis the policy and plan type (per policy per plan). Business rules to be defined later to identify is SMM is applicable or not.
System should be able to identify the amount to be taken into consideration for SMM calculation. System should be able to calculate adjustment factor basis the actual room charges and the eligible limit for room charges.
System to have capability (automatic/manual) to adjust the meal charges for the last day meal for adjustment factor calculation
System to calculate all the overall amount after applying adjustment factor, applicable limit (80%/100%),coinsurance amount etc.
</t>
    </r>
    <r>
      <rPr>
        <b/>
        <sz val="8"/>
        <color rgb="FF000000"/>
        <rFont val="Calibri"/>
        <family val="2"/>
      </rPr>
      <t xml:space="preserve">Hospital Service: </t>
    </r>
    <r>
      <rPr>
        <sz val="8"/>
        <color rgb="FF000000"/>
        <rFont val="Calibri"/>
        <family val="2"/>
      </rPr>
      <t>Adjustment factor to be automatically calculated in case insured is eligible for same private ward and got admitted to private ward. 
all the product specific business rules (parameter based) to be identified with business</t>
    </r>
  </si>
  <si>
    <r>
      <rPr>
        <b/>
        <sz val="8"/>
        <rFont val="Calibri"/>
        <family val="2"/>
      </rPr>
      <t>Online Submission:</t>
    </r>
    <r>
      <rPr>
        <sz val="8"/>
        <rFont val="Calibri"/>
        <family val="2"/>
      </rPr>
      <t xml:space="preserve"> 'Claim system to be integrated with various web portals to allow electronic submission of claims 
1. Data capture from member via AIA member benefit mobile apps 
2. Data capture from provider via Provider portal/AIA Web link/eLOG
3. Data capture from MyPage
4. Agency Portal for submitting online claims on behalf of their customers.
Push notification to the insured/members in case the reporter is ohter than the member
Field to field mapping to be identified with the SMEs
</t>
    </r>
  </si>
  <si>
    <r>
      <rPr>
        <b/>
        <sz val="8"/>
        <rFont val="Calibri"/>
        <family val="2"/>
      </rPr>
      <t>Insufficient Mandatory Information:</t>
    </r>
    <r>
      <rPr>
        <sz val="8"/>
        <rFont val="Calibri"/>
        <family val="2"/>
      </rPr>
      <t xml:space="preserve"> 'Ability to capture information during registration even if we have insufficient details to save the captured data so that it can be used to  retrieve the draft claims  to the complete registration once all the details are available.
System to automatically (Transaction ID/scan ID) link the incoming document with the draft claim after receiving the document instead of tagging it as new claim
Different KPIs to be setup for Draft claims for pending reasons to ensure tracking of pending cases and system to trigger the auto reminders for follow up
</t>
    </r>
    <r>
      <rPr>
        <sz val="8"/>
        <color rgb="FFFF0000"/>
        <rFont val="Calibri"/>
        <family val="2"/>
      </rPr>
      <t xml:space="preserve">
</t>
    </r>
  </si>
  <si>
    <r>
      <rPr>
        <b/>
        <sz val="8"/>
        <rFont val="Calibri"/>
        <family val="2"/>
      </rPr>
      <t>Pre-existing Condition (Program Reach):</t>
    </r>
    <r>
      <rPr>
        <sz val="8"/>
        <rFont val="Calibri"/>
        <family val="2"/>
      </rPr>
      <t xml:space="preserve"> 'Ability to alert for Pre existing conditions basis business rules. System to link the pre existing conditions to complexity / risk score and assign it to the right claims adjustor. 
</t>
    </r>
    <r>
      <rPr>
        <b/>
        <sz val="8"/>
        <rFont val="Calibri"/>
        <family val="2"/>
      </rPr>
      <t xml:space="preserve">Policy exclusion: </t>
    </r>
    <r>
      <rPr>
        <sz val="8"/>
        <rFont val="Calibri"/>
        <family val="2"/>
      </rPr>
      <t xml:space="preserve">System to idenitfy and highlight in case any of the benefit is under policy exclusion for member or insured. System to raise a flag in case of diagnosis/ treatment is linked to the exclusion captured in PAS. Raised flag to be lnked with the complexity/risk profile of the claim. System to block the payment till the time exclusion flag is removed manully by the claims handler
</t>
    </r>
  </si>
  <si>
    <r>
      <rPr>
        <b/>
        <sz val="8"/>
        <rFont val="Calibri"/>
        <family val="2"/>
      </rPr>
      <t>Late Submission:</t>
    </r>
    <r>
      <rPr>
        <sz val="8"/>
        <rFont val="Calibri"/>
        <family val="2"/>
      </rPr>
      <t xml:space="preserve"> 'Ability to alert the claim handlers in case of late submission of documents (e.g.90 days after the incurred date) 
System to also calculate the total number of days delay after admin team entered the rate of submission of document and perform the subtraction from the current date.
All rejected cases to be validated for special handling instruction captured at policy level.
All rejected cases to be assigned a complexity score/ account manager before declining the claim
</t>
    </r>
    <r>
      <rPr>
        <b/>
        <sz val="8"/>
        <rFont val="Calibri"/>
        <family val="2"/>
      </rPr>
      <t xml:space="preserve">Claims incurred date before policy effective date (takeover policies) : </t>
    </r>
    <r>
      <rPr>
        <sz val="8"/>
        <rFont val="Calibri"/>
        <family val="2"/>
      </rPr>
      <t xml:space="preserve">System to block/(show error message) any claims registration in case the incurred date is before the effective date as a rule.
System to allow the registration of case even before the effective date only in case of takeover policies. System to allow claims registration once the admin team enter the reason as takeover policy reason and make an exgratia payment 
</t>
    </r>
    <r>
      <rPr>
        <sz val="8"/>
        <color rgb="FFFF0000"/>
        <rFont val="Calibri"/>
        <family val="2"/>
      </rPr>
      <t xml:space="preserve">
</t>
    </r>
  </si>
  <si>
    <r>
      <rPr>
        <b/>
        <sz val="8"/>
        <rFont val="Calibri"/>
        <family val="2"/>
      </rPr>
      <t>Document Management</t>
    </r>
    <r>
      <rPr>
        <sz val="8"/>
        <rFont val="Calibri"/>
        <family val="2"/>
      </rPr>
      <t xml:space="preserve">: 
'Ability to upload, index, view, download and print (restricted access) any format of documents of a specific claim in claim portal
</t>
    </r>
    <r>
      <rPr>
        <b/>
        <sz val="8"/>
        <rFont val="Calibri"/>
        <family val="2"/>
      </rPr>
      <t>1. Online Submission</t>
    </r>
    <r>
      <rPr>
        <sz val="8"/>
        <rFont val="Calibri"/>
        <family val="2"/>
      </rPr>
      <t xml:space="preserve">: Auto -indexing is enabled through data entry performed by Member/ Insured/Provider for claims submission
</t>
    </r>
    <r>
      <rPr>
        <b/>
        <sz val="8"/>
        <rFont val="Calibri"/>
        <family val="2"/>
      </rPr>
      <t xml:space="preserve">2. Pay and File (Physical document): </t>
    </r>
    <r>
      <rPr>
        <sz val="8"/>
        <rFont val="Calibri"/>
        <family val="2"/>
      </rPr>
      <t xml:space="preserve">
Level 1: Document management team to index the documents after scanning
Level2: detailed data to be captured by the Claims admin team before registration
3.</t>
    </r>
    <r>
      <rPr>
        <b/>
        <sz val="8"/>
        <rFont val="Calibri"/>
        <family val="2"/>
      </rPr>
      <t xml:space="preserve"> Document via email:</t>
    </r>
    <r>
      <rPr>
        <sz val="8"/>
        <rFont val="Calibri"/>
        <family val="2"/>
      </rPr>
      <t xml:space="preserve">  'Ability to index incoming digital documents from email or other channel electronic channel that comes directly to claims handlers
Details rules to be discussed in details with SMES
</t>
    </r>
  </si>
  <si>
    <r>
      <rPr>
        <b/>
        <sz val="8"/>
        <rFont val="Calibri"/>
        <family val="2"/>
      </rPr>
      <t>Auto Populate Customer Profile:</t>
    </r>
    <r>
      <rPr>
        <sz val="8"/>
        <rFont val="Calibri"/>
        <family val="2"/>
      </rPr>
      <t xml:space="preserve"> 'Ability to pre-populate customer profile and policy details on registration screen by entering valid policy number or customer information (DOB, ID, gender etc.)
Data will be used for fraud detection and other analytical purposes
E.g.: Gender specific treatment, Age related treatment validation etc.
</t>
    </r>
  </si>
  <si>
    <r>
      <rPr>
        <b/>
        <sz val="8"/>
        <color rgb="FF000000"/>
        <rFont val="Calibri"/>
        <family val="2"/>
      </rPr>
      <t xml:space="preserve">Client Merge for claim record: </t>
    </r>
    <r>
      <rPr>
        <sz val="8"/>
        <color rgb="FF000000"/>
        <rFont val="Calibri"/>
        <family val="2"/>
      </rPr>
      <t xml:space="preserve">System should have the capability to merge the client ID in case the member has multiple policies with different Client ID. System should allow claim handlers to link multiple policies with different client ID for coordination of benefits and pay for all the policies under one claim record. 
Search criteria to be defined to identify all the active policies with combination of unique parameters (eg. HKID, DOB, Gender, name etc.).
Once all the policies are identified and displayed, system to allow claims handler to link multiple policies under one claim record
</t>
    </r>
    <r>
      <rPr>
        <sz val="8"/>
        <color rgb="FFFF0000"/>
        <rFont val="Calibri"/>
        <family val="2"/>
      </rPr>
      <t>Do we need to clean up the client record one time and make the system unique per client ID. Ideally, there should be unique client ID for all the policies for same insured (Need to discuss this with U/W team) for making the payment?</t>
    </r>
  </si>
  <si>
    <t xml:space="preserve">Abbreviation </t>
  </si>
  <si>
    <t xml:space="preserve">Meaning </t>
  </si>
  <si>
    <t>IL</t>
  </si>
  <si>
    <t>CS</t>
  </si>
  <si>
    <t xml:space="preserve">Corporate solution Business </t>
  </si>
  <si>
    <t xml:space="preserve">OSS </t>
  </si>
  <si>
    <t>GL</t>
  </si>
  <si>
    <t>General Ledger</t>
  </si>
  <si>
    <t>PL</t>
  </si>
  <si>
    <t>Payment Ledger</t>
  </si>
  <si>
    <t xml:space="preserve">Straight Through Processing </t>
  </si>
  <si>
    <t xml:space="preserve">NCB </t>
  </si>
  <si>
    <t>No claim Bonus</t>
  </si>
  <si>
    <t xml:space="preserve">PEP </t>
  </si>
  <si>
    <t xml:space="preserve">Policitcally exposed person </t>
  </si>
  <si>
    <t>PLA</t>
  </si>
  <si>
    <t>Preliminary Loss Advice</t>
  </si>
  <si>
    <t xml:space="preserve">Program reach </t>
  </si>
  <si>
    <t xml:space="preserve">Referenced to progm in malaysia for best practices </t>
  </si>
  <si>
    <t>LOG</t>
  </si>
  <si>
    <t>PA</t>
  </si>
  <si>
    <t xml:space="preserve">Prior approval </t>
  </si>
  <si>
    <t>Letter of Guarantee</t>
  </si>
  <si>
    <r>
      <rPr>
        <b/>
        <sz val="8"/>
        <rFont val="Calibri"/>
        <family val="2"/>
      </rPr>
      <t>Mandatory vs Non Mandatory Information:</t>
    </r>
    <r>
      <rPr>
        <sz val="8"/>
        <rFont val="Calibri"/>
        <family val="2"/>
      </rPr>
      <t xml:space="preserve">
'Ability to capture claims data in Claims Portal to ensure sufficient information is provided to open the claim.
All Mandatory data information to be captured for online submission else claims cant be submitted 
All Mandatory data (Indexing data)  in case of paper submission to be entered by Document Management team (Kodak Team). Index data such as  1) Policy number/member ID, 2)Treatment incurred date, 3) Provider code (for provider claim) and 4) Total presented amount, 5) Claims Type, 6) Document received date, 7) Agent ID
Indexing tool to be integrated with workflow/claims system.
All mandatory data (medical information data) to be captured by </t>
    </r>
    <r>
      <rPr>
        <b/>
        <sz val="8"/>
        <rFont val="Calibri"/>
        <family val="2"/>
      </rPr>
      <t>Medical team</t>
    </r>
    <r>
      <rPr>
        <sz val="8"/>
        <rFont val="Calibri"/>
        <family val="2"/>
      </rPr>
      <t xml:space="preserve"> before claims registration to help in complexity rating for claims segmentation and assignment. 
</t>
    </r>
    <r>
      <rPr>
        <sz val="8"/>
        <color rgb="FFFF0000"/>
        <rFont val="Calibri"/>
        <family val="2"/>
      </rPr>
      <t>Refer to Supporting Document</t>
    </r>
    <r>
      <rPr>
        <sz val="8"/>
        <rFont val="Calibri"/>
        <family val="2"/>
      </rPr>
      <t xml:space="preserve">
All Non mandatory </t>
    </r>
    <r>
      <rPr>
        <b/>
        <sz val="8"/>
        <rFont val="Calibri"/>
        <family val="2"/>
      </rPr>
      <t>(Billing data)</t>
    </r>
    <r>
      <rPr>
        <sz val="8"/>
        <rFont val="Calibri"/>
        <family val="2"/>
      </rPr>
      <t xml:space="preserve"> to be captured by Admin team before claims registration to help in assessment after claims registration. All customer data including who reported, how reported, relationship with insured and address for communication to be entered by admin team.
 fields to be defined later during. Fields  to support  data analytics for future modelling. (Currently one is used to cater for many input types ex. cert number - future system to defie separate filed for appropriate controls) 
</t>
    </r>
    <r>
      <rPr>
        <sz val="8"/>
        <color rgb="FFFF0000"/>
        <rFont val="Calibri"/>
        <family val="2"/>
      </rPr>
      <t xml:space="preserve">
</t>
    </r>
  </si>
  <si>
    <t>Stand alone system to manage provider (System in build stage for HK)</t>
  </si>
  <si>
    <t xml:space="preserve">Stand alone system to manage provider (System in build stage for HK)- Free structure to be aligned with local PAS structure (extensive mapping reqired) with no integration </t>
  </si>
  <si>
    <t>Intergration with Claims and PAS system ) moderate integration</t>
  </si>
  <si>
    <t>Intergration with Claims and PAS system ) moderate integration
Integration with front end systems for push notifications (2/3 systems)</t>
  </si>
  <si>
    <t>Intergration with Claims System for data transfer and mapping</t>
  </si>
  <si>
    <t>Integration with Claims system</t>
  </si>
  <si>
    <t>Stand alone system to manage provider (System in build stage for HK).
Intergration with front end system (2/3) for search enquiry</t>
  </si>
  <si>
    <t xml:space="preserve">AIA Weblink
Provider portal 
Mobile apps
AIA My PAGE 
Mediconnect - eLOG/e -referral/ GP portal 
(4-5 front end integrations). Backfill, retrival and frontfill (with PAS)
</t>
  </si>
  <si>
    <t>integration with PAS</t>
  </si>
  <si>
    <t xml:space="preserve">
Document Management system, Case 360</t>
  </si>
  <si>
    <t>Mapping table to built in GCP</t>
  </si>
  <si>
    <t xml:space="preserve">PAS </t>
  </si>
  <si>
    <t>Business rules</t>
  </si>
  <si>
    <t xml:space="preserve">Provider portal </t>
  </si>
  <si>
    <t>Busines rules</t>
  </si>
  <si>
    <t>External fraud system/just referral within claims system
Fraud rules</t>
  </si>
  <si>
    <t>PAS/ Claims System/ Reinsurance system/ document management system</t>
  </si>
  <si>
    <t>Mapping table, PAS</t>
  </si>
  <si>
    <t>PAS,
Provider management Module</t>
  </si>
  <si>
    <t>PAS
Provider portal</t>
  </si>
  <si>
    <t>Document mnagement system, MIMO, Outlook</t>
  </si>
  <si>
    <t>Document Management system</t>
  </si>
  <si>
    <t>Document Management System,
PAS</t>
  </si>
  <si>
    <t>PAS, Mapping table</t>
  </si>
  <si>
    <t>Local Finance syatems/PAS</t>
  </si>
  <si>
    <t>Claims System/ Exchange rate site</t>
  </si>
  <si>
    <t>PAS, 
Provider portal</t>
  </si>
  <si>
    <t>PAS, local finance system</t>
  </si>
  <si>
    <t>Document management system</t>
  </si>
  <si>
    <t xml:space="preserve">Claims system, Document Managemnt system </t>
  </si>
  <si>
    <r>
      <rPr>
        <b/>
        <sz val="8"/>
        <color theme="1"/>
        <rFont val="Calibri"/>
        <family val="2"/>
        <scheme val="minor"/>
      </rPr>
      <t xml:space="preserve">Partial Payment/Full payment: </t>
    </r>
    <r>
      <rPr>
        <sz val="8"/>
        <color theme="1"/>
        <rFont val="Calibri"/>
        <family val="2"/>
        <scheme val="minor"/>
      </rPr>
      <t xml:space="preserve">System should allow to pay the partial claim amount and keep the claim open till the time balance payment is not ready to pay. 
System to allow the claims handlers to deselect the line item at the benefit level to supress the payment from the overall assessment sheet. Claims handlers to have an option to put the reason while supressing the payment.
Claims to be kept open/pending  with the reduced reserve in case the partial payment is made.
Keep the current payment options dropdown of MJC for users to select the payment option
</t>
    </r>
    <r>
      <rPr>
        <b/>
        <sz val="8"/>
        <color theme="1"/>
        <rFont val="Calibri"/>
        <family val="2"/>
        <scheme val="minor"/>
      </rPr>
      <t xml:space="preserve">Advance/partial/full payment: </t>
    </r>
    <r>
      <rPr>
        <sz val="8"/>
        <color theme="1"/>
        <rFont val="Calibri"/>
        <family val="2"/>
        <scheme val="minor"/>
      </rPr>
      <t>System to have the capability to make the advance payment even if it is greater than adjusted amount. In this scenario, system to automatically create a shortfall equivalent to (payment amount - adjusted amount)  for the member/payee.</t>
    </r>
  </si>
  <si>
    <t>Policy admin system (atleast 4 PAS)
SG CS - Compass
SG IL - Iitegral Life
HK IL - Integral Life
HK CS - Compass</t>
  </si>
  <si>
    <r>
      <rPr>
        <b/>
        <sz val="8"/>
        <rFont val="Calibri"/>
        <family val="2"/>
      </rPr>
      <t>Member &amp; Policy Benefit Check:</t>
    </r>
    <r>
      <rPr>
        <sz val="8"/>
        <rFont val="Calibri"/>
        <family val="2"/>
      </rPr>
      <t xml:space="preserve">
'Ability to do a basic eligibility check using policy status (e.g. in force at date of accident, policy status (hold), benefit coverage as well as exclusions ), benefit coverage and policy exclusion to determine if the claim is covered
All Policy related data to be brought forward in claims system that will enable Claim handler to do the eligibility check (Policy schedule, endorsements, special handlings if any etc.)
</t>
    </r>
    <r>
      <rPr>
        <b/>
        <sz val="8"/>
        <rFont val="Calibri"/>
        <family val="2"/>
      </rPr>
      <t xml:space="preserve">
System to reject the claim in case: </t>
    </r>
    <r>
      <rPr>
        <sz val="8"/>
        <rFont val="Calibri"/>
        <family val="2"/>
      </rPr>
      <t xml:space="preserve">
No eligible benefits
All benefit exhausted
Member in eligible/terminated
Policy not in force (Treatment date)
System to also check the regulatory requirements (country specific) (AML)
</t>
    </r>
    <r>
      <rPr>
        <sz val="8"/>
        <color rgb="FFFF0000"/>
        <rFont val="Calibri"/>
        <family val="2"/>
      </rPr>
      <t/>
    </r>
  </si>
  <si>
    <t>Effort (To be updated by Supplier)</t>
  </si>
  <si>
    <t>Assumptions (To be updated by Supplier)</t>
  </si>
  <si>
    <t>Individual Life Business</t>
  </si>
  <si>
    <t xml:space="preserve">Shared services Center in Kuala Lumpur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</si>
</sst>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5">
    <font>
      <sz val="11"/>
      <color theme="1"/>
      <name val="Calibri"/>
      <family val="2"/>
      <scheme val="minor"/>
    </font>
    <font>
      <b/>
      <sz val="9"/>
      <color rgb="FFFFFFFF"/>
      <name val="Arial"/>
      <family val="2"/>
    </font>
    <font>
      <b/>
      <sz val="8"/>
      <color rgb="FF000000"/>
      <name val="Calibri"/>
      <family val="2"/>
    </font>
    <font>
      <sz val="8"/>
      <color rgb="FF000000"/>
      <name val="Calibri"/>
      <family val="2"/>
    </font>
    <font>
      <sz val="10"/>
      <name val="Arial"/>
      <family val="2"/>
    </font>
    <font>
      <sz val="8"/>
      <name val="Calibri"/>
      <family val="2"/>
    </font>
    <font>
      <u/>
      <sz val="7.9"/>
      <color indexed="12"/>
      <name val="新細明體"/>
      <family val="1"/>
      <charset val="136"/>
    </font>
    <font>
      <sz val="8"/>
      <color theme="1"/>
      <name val="Calibri"/>
      <family val="2"/>
    </font>
    <font>
      <sz val="11"/>
      <name val="Calibri"/>
      <family val="2"/>
      <scheme val="minor"/>
    </font>
    <font>
      <sz val="8"/>
      <name val="Calibri"/>
      <family val="2"/>
      <scheme val="minor"/>
    </font>
    <font>
      <sz val="8"/>
      <color theme="1"/>
      <name val="Calibri"/>
      <family val="2"/>
      <scheme val="minor"/>
    </font>
    <font>
      <sz val="10"/>
      <color theme="0"/>
      <name val="Arial"/>
      <family val="2"/>
    </font>
    <font>
      <sz val="9"/>
      <name val="Calibri"/>
      <family val="2"/>
      <scheme val="minor"/>
    </font>
    <font>
      <b/>
      <sz val="8"/>
      <color rgb="FF000000"/>
      <name val="Calibri"/>
      <family val="2"/>
      <scheme val="minor"/>
    </font>
    <font>
      <b/>
      <sz val="10"/>
      <color theme="0"/>
      <name val="Arial"/>
      <family val="2"/>
    </font>
    <font>
      <b/>
      <sz val="7.9"/>
      <color theme="0"/>
      <name val="Arial"/>
      <family val="2"/>
    </font>
    <font>
      <sz val="9"/>
      <color indexed="81"/>
      <name val="Tahoma"/>
      <family val="2"/>
    </font>
    <font>
      <b/>
      <sz val="9"/>
      <name val="Arial"/>
      <family val="2"/>
    </font>
    <font>
      <b/>
      <sz val="8"/>
      <name val="Calibri"/>
      <family val="2"/>
    </font>
    <font>
      <b/>
      <sz val="8"/>
      <color theme="1"/>
      <name val="Calibri"/>
      <family val="2"/>
      <scheme val="minor"/>
    </font>
    <font>
      <b/>
      <sz val="8"/>
      <color theme="1"/>
      <name val="Calibri"/>
      <family val="2"/>
    </font>
    <font>
      <sz val="8"/>
      <color rgb="FF000000"/>
      <name val="Calibri"/>
      <family val="2"/>
      <scheme val="minor"/>
    </font>
    <font>
      <b/>
      <sz val="8"/>
      <name val="Calibri"/>
      <family val="2"/>
      <scheme val="minor"/>
    </font>
    <font>
      <b/>
      <sz val="9"/>
      <color rgb="FFFFFFFF"/>
      <name val="Calibri"/>
      <family val="2"/>
      <scheme val="minor"/>
    </font>
    <font>
      <sz val="8"/>
      <color rgb="FFFF0000"/>
      <name val="Calibri"/>
      <family val="2"/>
    </font>
    <font>
      <sz val="8"/>
      <color theme="1"/>
      <name val="Symbol"/>
      <family val="2"/>
      <charset val="2"/>
    </font>
    <font>
      <sz val="8"/>
      <color theme="1"/>
      <name val="Symbol"/>
      <family val="1"/>
      <charset val="2"/>
    </font>
    <font>
      <sz val="8"/>
      <color theme="1"/>
      <name val="Times New Roman"/>
      <family val="1"/>
    </font>
    <font>
      <sz val="8"/>
      <color rgb="FFFF0000"/>
      <name val="Calibri"/>
      <family val="2"/>
      <scheme val="minor"/>
    </font>
    <font>
      <b/>
      <sz val="16"/>
      <name val="Arial"/>
      <family val="2"/>
    </font>
    <font>
      <u/>
      <sz val="8"/>
      <color rgb="FF000000"/>
      <name val="Calibri"/>
      <family val="2"/>
    </font>
    <font>
      <b/>
      <sz val="11"/>
      <color theme="1"/>
      <name val="Calibri"/>
      <family val="2"/>
      <scheme val="minor"/>
    </font>
    <font>
      <sz val="14"/>
      <name val="Arial"/>
      <family val="2"/>
    </font>
    <font>
      <sz val="16"/>
      <name val="Arial"/>
      <family val="2"/>
    </font>
    <font>
      <b/>
      <sz val="12"/>
      <name val="Arial"/>
      <family val="2"/>
    </font>
  </fonts>
  <fills count="19">
    <fill>
      <patternFill patternType="none"/>
    </fill>
    <fill>
      <patternFill patternType="gray125"/>
    </fill>
    <fill>
      <patternFill patternType="solid">
        <fgColor rgb="FF003366"/>
        <bgColor indexed="64"/>
      </patternFill>
    </fill>
    <fill>
      <patternFill patternType="solid">
        <fgColor rgb="FFFFFFFF"/>
        <bgColor indexed="64"/>
      </patternFill>
    </fill>
    <fill>
      <patternFill patternType="solid">
        <fgColor rgb="FF95B3D7"/>
        <bgColor indexed="64"/>
      </patternFill>
    </fill>
    <fill>
      <patternFill patternType="solid">
        <fgColor rgb="FFFFC000"/>
        <bgColor indexed="64"/>
      </patternFill>
    </fill>
    <fill>
      <patternFill patternType="solid">
        <fgColor rgb="FF92D050"/>
        <bgColor indexed="64"/>
      </patternFill>
    </fill>
    <fill>
      <patternFill patternType="solid">
        <fgColor theme="7" tint="0.79998168889431442"/>
        <bgColor indexed="64"/>
      </patternFill>
    </fill>
    <fill>
      <patternFill patternType="solid">
        <fgColor theme="0"/>
        <bgColor indexed="64"/>
      </patternFill>
    </fill>
    <fill>
      <patternFill patternType="solid">
        <fgColor theme="3" tint="0.39997558519241921"/>
        <bgColor indexed="64"/>
      </patternFill>
    </fill>
    <fill>
      <patternFill patternType="solid">
        <fgColor rgb="FF0070C0"/>
        <bgColor indexed="64"/>
      </patternFill>
    </fill>
    <fill>
      <patternFill patternType="solid">
        <fgColor rgb="FF00B0F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7" tint="0.39997558519241921"/>
        <bgColor indexed="64"/>
      </patternFill>
    </fill>
    <fill>
      <patternFill patternType="solid">
        <fgColor theme="4" tint="-0.249977111117893"/>
        <bgColor indexed="64"/>
      </patternFill>
    </fill>
    <fill>
      <patternFill patternType="solid">
        <fgColor rgb="FFFFFF00"/>
        <bgColor indexed="64"/>
      </patternFill>
    </fill>
    <fill>
      <patternFill patternType="solid">
        <fgColor rgb="FF00B050"/>
        <bgColor indexed="64"/>
      </patternFill>
    </fill>
    <fill>
      <patternFill patternType="solid">
        <fgColor theme="5"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s>
  <cellStyleXfs count="4">
    <xf numFmtId="0" fontId="0" fillId="0" borderId="0"/>
    <xf numFmtId="0" fontId="4" fillId="0" borderId="0"/>
    <xf numFmtId="0" fontId="4" fillId="0" borderId="0"/>
    <xf numFmtId="0" fontId="6" fillId="0" borderId="0" applyNumberFormat="0" applyFill="0" applyBorder="0" applyAlignment="0" applyProtection="0">
      <alignment vertical="top"/>
      <protection locked="0"/>
    </xf>
  </cellStyleXfs>
  <cellXfs count="174">
    <xf numFmtId="0" fontId="0" fillId="0" borderId="0" xfId="0"/>
    <xf numFmtId="0" fontId="0" fillId="0" borderId="0" xfId="0" applyAlignment="1">
      <alignment wrapText="1"/>
    </xf>
    <xf numFmtId="0" fontId="1" fillId="2" borderId="2" xfId="0" applyFont="1" applyFill="1" applyBorder="1" applyAlignment="1">
      <alignment vertical="center" readingOrder="1"/>
    </xf>
    <xf numFmtId="0" fontId="0" fillId="0" borderId="0" xfId="0" applyAlignment="1"/>
    <xf numFmtId="0" fontId="2" fillId="7" borderId="1" xfId="0" applyFont="1" applyFill="1" applyBorder="1" applyAlignment="1">
      <alignment horizontal="center" vertical="center" wrapText="1" readingOrder="1"/>
    </xf>
    <xf numFmtId="0" fontId="0" fillId="0" borderId="0" xfId="0"/>
    <xf numFmtId="0" fontId="5" fillId="3" borderId="1" xfId="0" applyFont="1" applyFill="1" applyBorder="1" applyAlignment="1">
      <alignment horizontal="center" vertical="center" wrapText="1" readingOrder="1"/>
    </xf>
    <xf numFmtId="0" fontId="8" fillId="0" borderId="0" xfId="0" applyFont="1" applyAlignment="1">
      <alignment wrapText="1"/>
    </xf>
    <xf numFmtId="0" fontId="7" fillId="0" borderId="1" xfId="0" quotePrefix="1" applyFont="1" applyFill="1" applyBorder="1" applyAlignment="1">
      <alignment horizontal="left" vertical="center" wrapText="1" readingOrder="1"/>
    </xf>
    <xf numFmtId="0" fontId="5" fillId="0" borderId="1" xfId="0" applyFont="1" applyFill="1" applyBorder="1" applyAlignment="1">
      <alignment horizontal="left" vertical="center" wrapText="1" readingOrder="1"/>
    </xf>
    <xf numFmtId="0" fontId="11" fillId="11" borderId="1" xfId="2" applyFont="1" applyFill="1" applyBorder="1" applyAlignment="1">
      <alignment horizontal="center" vertical="center" wrapText="1"/>
    </xf>
    <xf numFmtId="0" fontId="12" fillId="0" borderId="1" xfId="0" applyFont="1" applyFill="1" applyBorder="1" applyAlignment="1">
      <alignment horizontal="center" vertical="center" wrapText="1" readingOrder="1"/>
    </xf>
    <xf numFmtId="0" fontId="4" fillId="9" borderId="0" xfId="2" applyFont="1" applyFill="1"/>
    <xf numFmtId="0" fontId="4" fillId="0" borderId="0" xfId="2" applyFont="1"/>
    <xf numFmtId="0" fontId="4" fillId="0" borderId="0" xfId="2" applyFont="1" applyAlignment="1">
      <alignment vertical="center"/>
    </xf>
    <xf numFmtId="0" fontId="4" fillId="0" borderId="0" xfId="2" applyFont="1" applyBorder="1" applyAlignment="1">
      <alignment vertical="top" wrapText="1"/>
    </xf>
    <xf numFmtId="0" fontId="4" fillId="0" borderId="0" xfId="2" applyFont="1" applyAlignment="1">
      <alignment vertical="top" wrapText="1"/>
    </xf>
    <xf numFmtId="0" fontId="14" fillId="9" borderId="0" xfId="2" applyFont="1" applyFill="1"/>
    <xf numFmtId="0" fontId="14" fillId="10" borderId="7" xfId="2" applyFont="1" applyFill="1" applyBorder="1" applyAlignment="1">
      <alignment horizontal="center" vertical="center"/>
    </xf>
    <xf numFmtId="0" fontId="4" fillId="0" borderId="0" xfId="2" applyFont="1" applyAlignment="1">
      <alignment horizontal="center" vertical="center" wrapText="1"/>
    </xf>
    <xf numFmtId="0" fontId="0" fillId="2" borderId="0" xfId="0" applyFill="1"/>
    <xf numFmtId="0" fontId="4" fillId="6" borderId="1" xfId="3" applyFont="1" applyFill="1" applyBorder="1" applyAlignment="1" applyProtection="1">
      <alignment horizontal="center" vertical="center" wrapText="1"/>
    </xf>
    <xf numFmtId="0" fontId="9" fillId="0" borderId="1" xfId="0" applyFont="1" applyFill="1" applyBorder="1" applyAlignment="1">
      <alignment horizontal="left" vertical="center" wrapText="1" readingOrder="1"/>
    </xf>
    <xf numFmtId="0" fontId="4" fillId="5" borderId="1" xfId="3" applyFont="1" applyFill="1" applyBorder="1" applyAlignment="1" applyProtection="1">
      <alignment horizontal="center" vertical="center" wrapText="1"/>
    </xf>
    <xf numFmtId="0" fontId="2" fillId="4" borderId="5" xfId="0" applyFont="1" applyFill="1" applyBorder="1" applyAlignment="1">
      <alignment horizontal="center" vertical="center" wrapText="1" readingOrder="1"/>
    </xf>
    <xf numFmtId="0" fontId="2" fillId="4" borderId="6" xfId="0" applyFont="1" applyFill="1" applyBorder="1" applyAlignment="1">
      <alignment horizontal="center" vertical="center" wrapText="1" readingOrder="1"/>
    </xf>
    <xf numFmtId="0" fontId="4" fillId="6" borderId="0" xfId="3" applyFont="1" applyFill="1" applyBorder="1" applyAlignment="1" applyProtection="1">
      <alignment horizontal="center" vertical="center" wrapText="1"/>
    </xf>
    <xf numFmtId="0" fontId="4" fillId="5" borderId="0" xfId="3" applyFont="1" applyFill="1" applyBorder="1" applyAlignment="1" applyProtection="1">
      <alignment horizontal="center" vertical="center" wrapText="1"/>
    </xf>
    <xf numFmtId="0" fontId="4" fillId="0" borderId="0" xfId="2" applyFont="1" applyFill="1"/>
    <xf numFmtId="0" fontId="14" fillId="0" borderId="0" xfId="2" applyFont="1" applyFill="1" applyBorder="1" applyAlignment="1">
      <alignment horizontal="center" vertical="center"/>
    </xf>
    <xf numFmtId="0" fontId="11" fillId="0" borderId="0" xfId="2" applyFont="1" applyFill="1" applyBorder="1" applyAlignment="1">
      <alignment horizontal="center" vertical="center" wrapText="1"/>
    </xf>
    <xf numFmtId="0" fontId="4" fillId="0" borderId="0" xfId="3" applyFont="1" applyFill="1" applyBorder="1" applyAlignment="1" applyProtection="1">
      <alignment horizontal="center" vertical="center" wrapText="1"/>
    </xf>
    <xf numFmtId="0" fontId="4" fillId="0" borderId="0" xfId="2" applyFont="1" applyFill="1" applyAlignment="1">
      <alignment horizontal="center" vertical="center" wrapText="1"/>
    </xf>
    <xf numFmtId="0" fontId="4" fillId="0" borderId="0" xfId="2" applyFont="1" applyFill="1" applyAlignment="1">
      <alignment vertical="top" wrapText="1"/>
    </xf>
    <xf numFmtId="0" fontId="0" fillId="0" borderId="0" xfId="0" applyFill="1"/>
    <xf numFmtId="0" fontId="3" fillId="0" borderId="1" xfId="0" applyFont="1" applyFill="1" applyBorder="1" applyAlignment="1">
      <alignment horizontal="left" vertical="center" wrapText="1" readingOrder="1"/>
    </xf>
    <xf numFmtId="0" fontId="0" fillId="2" borderId="0" xfId="0" applyFill="1"/>
    <xf numFmtId="0" fontId="3" fillId="3" borderId="1" xfId="0" applyFont="1" applyFill="1" applyBorder="1" applyAlignment="1">
      <alignment horizontal="center" vertical="center" wrapText="1" readingOrder="1"/>
    </xf>
    <xf numFmtId="0" fontId="5" fillId="0" borderId="1" xfId="0" quotePrefix="1" applyFont="1" applyFill="1" applyBorder="1" applyAlignment="1">
      <alignment horizontal="left" vertical="center" wrapText="1" readingOrder="1"/>
    </xf>
    <xf numFmtId="0" fontId="3" fillId="0" borderId="1" xfId="0" quotePrefix="1" applyFont="1" applyFill="1" applyBorder="1" applyAlignment="1">
      <alignment horizontal="left" vertical="center" wrapText="1" readingOrder="1"/>
    </xf>
    <xf numFmtId="0" fontId="0" fillId="8" borderId="0" xfId="0" applyFill="1"/>
    <xf numFmtId="0" fontId="1" fillId="2" borderId="2" xfId="0" applyFont="1" applyFill="1" applyBorder="1" applyAlignment="1">
      <alignment vertical="center" wrapText="1" readingOrder="1"/>
    </xf>
    <xf numFmtId="0" fontId="0" fillId="0" borderId="0" xfId="0" applyAlignment="1">
      <alignment horizontal="left" vertical="top" wrapText="1" readingOrder="1"/>
    </xf>
    <xf numFmtId="0" fontId="3" fillId="0" borderId="1" xfId="0" applyFont="1" applyFill="1" applyBorder="1" applyAlignment="1">
      <alignment horizontal="left" vertical="center" wrapText="1"/>
    </xf>
    <xf numFmtId="0" fontId="5" fillId="0" borderId="1" xfId="0" applyFont="1" applyFill="1" applyBorder="1" applyAlignment="1">
      <alignment horizontal="left" vertical="center" wrapText="1"/>
    </xf>
    <xf numFmtId="0" fontId="10" fillId="0" borderId="1" xfId="0" applyFont="1" applyFill="1" applyBorder="1" applyAlignment="1">
      <alignment horizontal="left" vertical="center" wrapText="1" readingOrder="1"/>
    </xf>
    <xf numFmtId="0" fontId="10" fillId="0" borderId="1" xfId="0" quotePrefix="1" applyFont="1" applyFill="1" applyBorder="1" applyAlignment="1">
      <alignment horizontal="left" vertical="center" wrapText="1" readingOrder="1"/>
    </xf>
    <xf numFmtId="0" fontId="17" fillId="2" borderId="2" xfId="0" applyFont="1" applyFill="1" applyBorder="1" applyAlignment="1">
      <alignment vertical="center" wrapText="1" readingOrder="1"/>
    </xf>
    <xf numFmtId="0" fontId="18" fillId="7" borderId="1" xfId="0" applyFont="1" applyFill="1" applyBorder="1" applyAlignment="1">
      <alignment horizontal="center" vertical="center" wrapText="1" readingOrder="1"/>
    </xf>
    <xf numFmtId="0" fontId="13" fillId="5" borderId="3" xfId="0" applyFont="1" applyFill="1" applyBorder="1" applyAlignment="1">
      <alignment horizontal="center" vertical="center" wrapText="1" readingOrder="1"/>
    </xf>
    <xf numFmtId="0" fontId="2" fillId="5" borderId="3" xfId="0" applyFont="1" applyFill="1" applyBorder="1" applyAlignment="1">
      <alignment horizontal="center" vertical="center" wrapText="1" readingOrder="1"/>
    </xf>
    <xf numFmtId="0" fontId="14" fillId="10" borderId="7" xfId="2" applyFont="1" applyFill="1" applyBorder="1" applyAlignment="1">
      <alignment horizontal="center" vertical="center" wrapText="1"/>
    </xf>
    <xf numFmtId="0" fontId="2" fillId="4" borderId="5" xfId="0" applyFont="1" applyFill="1" applyBorder="1" applyAlignment="1">
      <alignment horizontal="center" vertical="center" wrapText="1" readingOrder="1"/>
    </xf>
    <xf numFmtId="0" fontId="2" fillId="4" borderId="6" xfId="0" applyFont="1" applyFill="1" applyBorder="1" applyAlignment="1">
      <alignment horizontal="center" vertical="center" wrapText="1" readingOrder="1"/>
    </xf>
    <xf numFmtId="0" fontId="11" fillId="11" borderId="5" xfId="2" applyFont="1" applyFill="1" applyBorder="1" applyAlignment="1">
      <alignment horizontal="center" vertical="center" wrapText="1"/>
    </xf>
    <xf numFmtId="0" fontId="4" fillId="6" borderId="6" xfId="3" applyFont="1" applyFill="1" applyBorder="1" applyAlignment="1" applyProtection="1">
      <alignment horizontal="center" vertical="center" wrapText="1"/>
    </xf>
    <xf numFmtId="0" fontId="4" fillId="0" borderId="0" xfId="2" applyFont="1" applyFill="1" applyBorder="1" applyAlignment="1">
      <alignment horizontal="center" vertical="center" wrapText="1"/>
    </xf>
    <xf numFmtId="0" fontId="4" fillId="0" borderId="0" xfId="2" applyFont="1" applyFill="1" applyBorder="1"/>
    <xf numFmtId="0" fontId="3" fillId="12" borderId="1" xfId="0" applyFont="1" applyFill="1" applyBorder="1" applyAlignment="1">
      <alignment horizontal="left" vertical="center" wrapText="1" readingOrder="1"/>
    </xf>
    <xf numFmtId="0" fontId="3" fillId="12" borderId="8" xfId="0" applyFont="1" applyFill="1" applyBorder="1" applyAlignment="1">
      <alignment horizontal="left" vertical="center" wrapText="1" readingOrder="1"/>
    </xf>
    <xf numFmtId="0" fontId="2" fillId="4" borderId="5" xfId="0" applyFont="1" applyFill="1" applyBorder="1" applyAlignment="1">
      <alignment horizontal="center" vertical="center" wrapText="1" readingOrder="1"/>
    </xf>
    <xf numFmtId="0" fontId="2" fillId="4" borderId="6" xfId="0" applyFont="1" applyFill="1" applyBorder="1" applyAlignment="1">
      <alignment horizontal="center" vertical="center" wrapText="1" readingOrder="1"/>
    </xf>
    <xf numFmtId="0" fontId="2" fillId="4" borderId="5" xfId="0" applyFont="1" applyFill="1" applyBorder="1" applyAlignment="1">
      <alignment horizontal="center" vertical="center" wrapText="1" readingOrder="1"/>
    </xf>
    <xf numFmtId="0" fontId="2" fillId="4" borderId="6" xfId="0" applyFont="1" applyFill="1" applyBorder="1" applyAlignment="1">
      <alignment horizontal="center" vertical="center" wrapText="1" readingOrder="1"/>
    </xf>
    <xf numFmtId="0" fontId="2" fillId="12" borderId="1" xfId="0" applyFont="1" applyFill="1" applyBorder="1" applyAlignment="1">
      <alignment horizontal="left" vertical="center" wrapText="1" readingOrder="1"/>
    </xf>
    <xf numFmtId="0" fontId="3" fillId="12" borderId="1" xfId="0" quotePrefix="1" applyFont="1" applyFill="1" applyBorder="1" applyAlignment="1">
      <alignment horizontal="left" vertical="center" wrapText="1" readingOrder="1"/>
    </xf>
    <xf numFmtId="0" fontId="3" fillId="12" borderId="8" xfId="0" quotePrefix="1" applyFont="1" applyFill="1" applyBorder="1" applyAlignment="1">
      <alignment horizontal="left" vertical="center" wrapText="1" readingOrder="1"/>
    </xf>
    <xf numFmtId="0" fontId="3" fillId="3" borderId="1" xfId="0" applyFont="1" applyFill="1" applyBorder="1" applyAlignment="1">
      <alignment horizontal="left" vertical="center" wrapText="1" readingOrder="1"/>
    </xf>
    <xf numFmtId="0" fontId="7" fillId="3" borderId="1" xfId="0" applyFont="1" applyFill="1" applyBorder="1" applyAlignment="1">
      <alignment horizontal="left" vertical="center" wrapText="1" readingOrder="1"/>
    </xf>
    <xf numFmtId="0" fontId="5" fillId="3" borderId="1" xfId="0" applyFont="1" applyFill="1" applyBorder="1" applyAlignment="1">
      <alignment horizontal="left" vertical="center" wrapText="1" readingOrder="1"/>
    </xf>
    <xf numFmtId="0" fontId="3" fillId="3" borderId="1" xfId="0" applyFont="1" applyFill="1" applyBorder="1" applyAlignment="1">
      <alignment horizontal="left" vertical="center" wrapText="1"/>
    </xf>
    <xf numFmtId="0" fontId="21" fillId="3" borderId="1" xfId="0" applyFont="1" applyFill="1" applyBorder="1" applyAlignment="1">
      <alignment horizontal="left" vertical="center" wrapText="1" readingOrder="1"/>
    </xf>
    <xf numFmtId="0" fontId="9" fillId="3" borderId="1" xfId="0" applyFont="1" applyFill="1" applyBorder="1" applyAlignment="1">
      <alignment horizontal="left" vertical="center" wrapText="1" readingOrder="1"/>
    </xf>
    <xf numFmtId="0" fontId="9" fillId="0" borderId="1" xfId="2" applyFont="1" applyBorder="1" applyAlignment="1">
      <alignment horizontal="left" vertical="center" wrapText="1"/>
    </xf>
    <xf numFmtId="0" fontId="21" fillId="13" borderId="1" xfId="0" quotePrefix="1" applyFont="1" applyFill="1" applyBorder="1" applyAlignment="1">
      <alignment horizontal="left" vertical="center" wrapText="1" readingOrder="1"/>
    </xf>
    <xf numFmtId="0" fontId="9" fillId="13" borderId="1" xfId="0" quotePrefix="1" applyFont="1" applyFill="1" applyBorder="1" applyAlignment="1">
      <alignment horizontal="left" vertical="center" wrapText="1" readingOrder="1"/>
    </xf>
    <xf numFmtId="0" fontId="23" fillId="2" borderId="2" xfId="0" applyFont="1" applyFill="1" applyBorder="1" applyAlignment="1">
      <alignment vertical="center" readingOrder="1"/>
    </xf>
    <xf numFmtId="0" fontId="13" fillId="4" borderId="5" xfId="0" applyFont="1" applyFill="1" applyBorder="1" applyAlignment="1">
      <alignment horizontal="center" vertical="center" wrapText="1" readingOrder="1"/>
    </xf>
    <xf numFmtId="0" fontId="13" fillId="4" borderId="6" xfId="0" applyFont="1" applyFill="1" applyBorder="1" applyAlignment="1">
      <alignment horizontal="center" vertical="center" wrapText="1" readingOrder="1"/>
    </xf>
    <xf numFmtId="0" fontId="9" fillId="0" borderId="1" xfId="0" applyFont="1" applyFill="1" applyBorder="1" applyAlignment="1">
      <alignment horizontal="left" vertical="center" wrapText="1"/>
    </xf>
    <xf numFmtId="0" fontId="10" fillId="0" borderId="1" xfId="0" applyFont="1" applyFill="1" applyBorder="1" applyAlignment="1">
      <alignment horizontal="left" vertical="center" wrapText="1"/>
    </xf>
    <xf numFmtId="0" fontId="4" fillId="14" borderId="3" xfId="2" applyFont="1" applyFill="1" applyBorder="1" applyAlignment="1">
      <alignment horizontal="center" vertical="center" wrapText="1"/>
    </xf>
    <xf numFmtId="0" fontId="4" fillId="14" borderId="4" xfId="2" applyFont="1" applyFill="1" applyBorder="1" applyAlignment="1">
      <alignment horizontal="center" vertical="center" wrapText="1"/>
    </xf>
    <xf numFmtId="0" fontId="4" fillId="14" borderId="4" xfId="2" applyFont="1" applyFill="1" applyBorder="1" applyAlignment="1">
      <alignment horizontal="center" vertical="center"/>
    </xf>
    <xf numFmtId="0" fontId="4" fillId="14" borderId="4" xfId="3" applyFont="1" applyFill="1" applyBorder="1" applyAlignment="1" applyProtection="1">
      <alignment horizontal="center" vertical="center" wrapText="1"/>
    </xf>
    <xf numFmtId="0" fontId="4" fillId="14" borderId="4" xfId="2" applyFont="1" applyFill="1" applyBorder="1"/>
    <xf numFmtId="0" fontId="14" fillId="10" borderId="6" xfId="2" applyFont="1" applyFill="1" applyBorder="1" applyAlignment="1">
      <alignment horizontal="center" vertical="center"/>
    </xf>
    <xf numFmtId="0" fontId="11" fillId="11" borderId="8" xfId="2" applyFont="1" applyFill="1" applyBorder="1" applyAlignment="1">
      <alignment horizontal="center" vertical="center" wrapText="1"/>
    </xf>
    <xf numFmtId="0" fontId="14" fillId="15" borderId="9" xfId="2" applyFont="1" applyFill="1" applyBorder="1" applyAlignment="1">
      <alignment horizontal="center" vertical="center" wrapText="1"/>
    </xf>
    <xf numFmtId="0" fontId="4" fillId="0" borderId="0" xfId="2" applyFont="1" applyAlignment="1">
      <alignment horizontal="left" vertical="center"/>
    </xf>
    <xf numFmtId="0" fontId="4" fillId="0" borderId="0" xfId="2" applyFont="1" applyAlignment="1">
      <alignment horizontal="right" vertical="center"/>
    </xf>
    <xf numFmtId="0" fontId="7" fillId="0" borderId="1" xfId="0" applyFont="1" applyFill="1" applyBorder="1" applyAlignment="1">
      <alignment horizontal="left" vertical="center" wrapText="1" readingOrder="1"/>
    </xf>
    <xf numFmtId="0" fontId="2" fillId="0" borderId="1" xfId="0" quotePrefix="1" applyFont="1" applyFill="1" applyBorder="1" applyAlignment="1">
      <alignment horizontal="left" vertical="center" wrapText="1" readingOrder="1"/>
    </xf>
    <xf numFmtId="0" fontId="1" fillId="2" borderId="1" xfId="0" applyFont="1" applyFill="1" applyBorder="1" applyAlignment="1">
      <alignment horizontal="center" vertical="center" readingOrder="1"/>
    </xf>
    <xf numFmtId="0" fontId="0" fillId="0" borderId="1" xfId="0" applyBorder="1" applyAlignment="1">
      <alignment horizontal="center" vertical="center"/>
    </xf>
    <xf numFmtId="0" fontId="5" fillId="13" borderId="1" xfId="0" quotePrefix="1" applyFont="1" applyFill="1" applyBorder="1" applyAlignment="1">
      <alignment horizontal="left" vertical="center" wrapText="1" readingOrder="1"/>
    </xf>
    <xf numFmtId="0" fontId="5" fillId="16" borderId="1" xfId="0" applyFont="1" applyFill="1" applyBorder="1" applyAlignment="1">
      <alignment horizontal="left" vertical="center" wrapText="1" readingOrder="1"/>
    </xf>
    <xf numFmtId="0" fontId="18" fillId="0" borderId="1" xfId="0" quotePrefix="1" applyFont="1" applyFill="1" applyBorder="1" applyAlignment="1">
      <alignment horizontal="left" vertical="center" wrapText="1" readingOrder="1"/>
    </xf>
    <xf numFmtId="0" fontId="10" fillId="12" borderId="1" xfId="0" quotePrefix="1" applyFont="1" applyFill="1" applyBorder="1" applyAlignment="1">
      <alignment horizontal="left" vertical="center" wrapText="1" readingOrder="1"/>
    </xf>
    <xf numFmtId="0" fontId="2" fillId="4" borderId="5" xfId="0" applyFont="1" applyFill="1" applyBorder="1" applyAlignment="1">
      <alignment horizontal="center" vertical="center" wrapText="1" readingOrder="1"/>
    </xf>
    <xf numFmtId="0" fontId="2" fillId="4" borderId="6" xfId="0" applyFont="1" applyFill="1" applyBorder="1" applyAlignment="1">
      <alignment horizontal="center" vertical="center" wrapText="1" readingOrder="1"/>
    </xf>
    <xf numFmtId="0" fontId="7" fillId="12" borderId="1" xfId="0" applyFont="1" applyFill="1" applyBorder="1" applyAlignment="1">
      <alignment horizontal="left" vertical="center" wrapText="1" readingOrder="1"/>
    </xf>
    <xf numFmtId="0" fontId="5" fillId="17" borderId="1" xfId="0" applyFont="1" applyFill="1" applyBorder="1" applyAlignment="1">
      <alignment horizontal="left" vertical="center" wrapText="1" readingOrder="1"/>
    </xf>
    <xf numFmtId="0" fontId="5" fillId="18" borderId="1" xfId="0" applyFont="1" applyFill="1" applyBorder="1" applyAlignment="1">
      <alignment horizontal="left" vertical="center" wrapText="1" readingOrder="1"/>
    </xf>
    <xf numFmtId="0" fontId="13" fillId="13" borderId="1" xfId="0" quotePrefix="1" applyFont="1" applyFill="1" applyBorder="1" applyAlignment="1">
      <alignment horizontal="left" vertical="center" wrapText="1" readingOrder="1"/>
    </xf>
    <xf numFmtId="0" fontId="5" fillId="5" borderId="1" xfId="0" applyFont="1" applyFill="1" applyBorder="1" applyAlignment="1">
      <alignment horizontal="left" vertical="center" wrapText="1" readingOrder="1"/>
    </xf>
    <xf numFmtId="0" fontId="1" fillId="2" borderId="0" xfId="0" applyFont="1" applyFill="1" applyBorder="1" applyAlignment="1">
      <alignment vertical="center" readingOrder="1"/>
    </xf>
    <xf numFmtId="0" fontId="2" fillId="6" borderId="0" xfId="0" applyFont="1" applyFill="1" applyBorder="1" applyAlignment="1">
      <alignment horizontal="center" vertical="center" wrapText="1" readingOrder="1"/>
    </xf>
    <xf numFmtId="0" fontId="7" fillId="12" borderId="1" xfId="0" quotePrefix="1" applyFont="1" applyFill="1" applyBorder="1" applyAlignment="1">
      <alignment horizontal="left" vertical="center" wrapText="1" readingOrder="1"/>
    </xf>
    <xf numFmtId="0" fontId="5" fillId="13" borderId="1" xfId="0" applyFont="1" applyFill="1" applyBorder="1" applyAlignment="1">
      <alignment horizontal="left" vertical="center" wrapText="1" readingOrder="1"/>
    </xf>
    <xf numFmtId="0" fontId="9" fillId="12" borderId="1" xfId="0" quotePrefix="1" applyFont="1" applyFill="1" applyBorder="1" applyAlignment="1">
      <alignment horizontal="left" vertical="center" wrapText="1"/>
    </xf>
    <xf numFmtId="0" fontId="3" fillId="12" borderId="1" xfId="0" quotePrefix="1" applyFont="1" applyFill="1" applyBorder="1" applyAlignment="1">
      <alignment horizontal="left" vertical="center" wrapText="1"/>
    </xf>
    <xf numFmtId="0" fontId="9" fillId="0" borderId="0" xfId="0" applyFont="1" applyAlignment="1">
      <alignment horizontal="justify" vertical="center" wrapText="1"/>
    </xf>
    <xf numFmtId="0" fontId="10" fillId="0" borderId="1" xfId="0" applyFont="1" applyBorder="1" applyAlignment="1">
      <alignment horizontal="justify" vertical="center" wrapText="1"/>
    </xf>
    <xf numFmtId="0" fontId="25" fillId="0" borderId="1" xfId="0" applyFont="1" applyBorder="1" applyAlignment="1">
      <alignment horizontal="justify" vertical="center" wrapText="1"/>
    </xf>
    <xf numFmtId="0" fontId="10" fillId="0" borderId="1" xfId="0" quotePrefix="1" applyFont="1" applyBorder="1" applyAlignment="1">
      <alignment horizontal="justify" vertical="center" wrapText="1"/>
    </xf>
    <xf numFmtId="0" fontId="10" fillId="0" borderId="1" xfId="0" applyFont="1" applyBorder="1" applyAlignment="1">
      <alignment wrapText="1"/>
    </xf>
    <xf numFmtId="0" fontId="10" fillId="0" borderId="0" xfId="0" applyFont="1" applyAlignment="1">
      <alignment wrapText="1"/>
    </xf>
    <xf numFmtId="0" fontId="5" fillId="0" borderId="5" xfId="0" quotePrefix="1" applyFont="1" applyFill="1" applyBorder="1" applyAlignment="1">
      <alignment horizontal="left" vertical="center" wrapText="1" readingOrder="1"/>
    </xf>
    <xf numFmtId="0" fontId="5" fillId="0" borderId="8" xfId="0" applyFont="1" applyFill="1" applyBorder="1" applyAlignment="1">
      <alignment horizontal="left" vertical="center" wrapText="1" readingOrder="1"/>
    </xf>
    <xf numFmtId="0" fontId="4" fillId="14" borderId="9" xfId="2" applyFont="1" applyFill="1" applyBorder="1" applyAlignment="1">
      <alignment horizontal="center" vertical="center" wrapText="1"/>
    </xf>
    <xf numFmtId="0" fontId="14" fillId="15" borderId="4" xfId="2" applyFont="1" applyFill="1" applyBorder="1" applyAlignment="1">
      <alignment horizontal="center" vertical="center" wrapText="1"/>
    </xf>
    <xf numFmtId="0" fontId="29" fillId="17" borderId="19" xfId="2" applyFont="1" applyFill="1" applyBorder="1" applyAlignment="1">
      <alignment horizontal="center" vertical="center"/>
    </xf>
    <xf numFmtId="0" fontId="19" fillId="0" borderId="1" xfId="0" quotePrefix="1" applyFont="1" applyFill="1" applyBorder="1" applyAlignment="1">
      <alignment horizontal="left" vertical="center" wrapText="1" readingOrder="1"/>
    </xf>
    <xf numFmtId="0" fontId="19" fillId="0" borderId="1" xfId="0" applyFont="1" applyBorder="1" applyAlignment="1">
      <alignment wrapText="1"/>
    </xf>
    <xf numFmtId="0" fontId="0" fillId="0" borderId="1" xfId="0" applyBorder="1"/>
    <xf numFmtId="0" fontId="0" fillId="0" borderId="1" xfId="0" applyBorder="1" applyAlignment="1">
      <alignment wrapText="1"/>
    </xf>
    <xf numFmtId="0" fontId="28" fillId="0" borderId="1" xfId="0" applyFont="1" applyFill="1" applyBorder="1" applyAlignment="1">
      <alignment vertical="top" wrapText="1"/>
    </xf>
    <xf numFmtId="0" fontId="33" fillId="0" borderId="0" xfId="2" applyFont="1"/>
    <xf numFmtId="0" fontId="33" fillId="0" borderId="0" xfId="2" applyFont="1" applyAlignment="1">
      <alignment vertical="center"/>
    </xf>
    <xf numFmtId="0" fontId="33" fillId="0" borderId="0" xfId="2" applyFont="1" applyBorder="1" applyAlignment="1">
      <alignment vertical="top" wrapText="1"/>
    </xf>
    <xf numFmtId="0" fontId="2" fillId="4" borderId="5" xfId="0" applyFont="1" applyFill="1" applyBorder="1" applyAlignment="1">
      <alignment vertical="center" wrapText="1" readingOrder="1"/>
    </xf>
    <xf numFmtId="0" fontId="2" fillId="4" borderId="20" xfId="0" applyFont="1" applyFill="1" applyBorder="1" applyAlignment="1">
      <alignment horizontal="center" vertical="center" wrapText="1" readingOrder="1"/>
    </xf>
    <xf numFmtId="0" fontId="2" fillId="4" borderId="7" xfId="0" applyFont="1" applyFill="1" applyBorder="1" applyAlignment="1">
      <alignment horizontal="center" vertical="center" wrapText="1" readingOrder="1"/>
    </xf>
    <xf numFmtId="0" fontId="2" fillId="4" borderId="6" xfId="0" applyFont="1" applyFill="1" applyBorder="1" applyAlignment="1">
      <alignment horizontal="center" vertical="top" wrapText="1" readingOrder="1"/>
    </xf>
    <xf numFmtId="0" fontId="0" fillId="0" borderId="0" xfId="0" applyAlignment="1">
      <alignment horizontal="left" vertical="center"/>
    </xf>
    <xf numFmtId="0" fontId="0" fillId="0" borderId="1" xfId="0" applyFill="1" applyBorder="1"/>
    <xf numFmtId="0" fontId="0" fillId="8" borderId="1" xfId="0" applyFill="1" applyBorder="1"/>
    <xf numFmtId="0" fontId="0" fillId="0" borderId="9" xfId="0" applyBorder="1"/>
    <xf numFmtId="0" fontId="0" fillId="0" borderId="9" xfId="0" applyFill="1" applyBorder="1"/>
    <xf numFmtId="0" fontId="0" fillId="8" borderId="9" xfId="0" applyFill="1" applyBorder="1"/>
    <xf numFmtId="0" fontId="0" fillId="0" borderId="9" xfId="0" applyBorder="1" applyAlignment="1">
      <alignment wrapText="1"/>
    </xf>
    <xf numFmtId="0" fontId="5" fillId="0" borderId="9" xfId="0" applyFont="1" applyFill="1" applyBorder="1" applyAlignment="1">
      <alignment horizontal="left" vertical="center" wrapText="1" readingOrder="1"/>
    </xf>
    <xf numFmtId="0" fontId="14" fillId="10" borderId="10" xfId="2" applyFont="1" applyFill="1" applyBorder="1" applyAlignment="1">
      <alignment horizontal="center" vertical="center"/>
    </xf>
    <xf numFmtId="0" fontId="14" fillId="10" borderId="11" xfId="2" applyFont="1" applyFill="1" applyBorder="1" applyAlignment="1">
      <alignment horizontal="center" vertical="center"/>
    </xf>
    <xf numFmtId="0" fontId="14" fillId="10" borderId="12" xfId="2" applyFont="1" applyFill="1" applyBorder="1" applyAlignment="1">
      <alignment horizontal="center" vertical="center"/>
    </xf>
    <xf numFmtId="0" fontId="14" fillId="10" borderId="13" xfId="2" applyFont="1" applyFill="1" applyBorder="1" applyAlignment="1">
      <alignment horizontal="center" vertical="center"/>
    </xf>
    <xf numFmtId="0" fontId="14" fillId="10" borderId="14" xfId="2" applyFont="1" applyFill="1" applyBorder="1" applyAlignment="1">
      <alignment horizontal="center" vertical="center"/>
    </xf>
    <xf numFmtId="0" fontId="14" fillId="10" borderId="15" xfId="2" applyFont="1" applyFill="1" applyBorder="1" applyAlignment="1">
      <alignment horizontal="center" vertical="center"/>
    </xf>
    <xf numFmtId="0" fontId="14" fillId="10" borderId="16" xfId="2" applyFont="1" applyFill="1" applyBorder="1" applyAlignment="1">
      <alignment horizontal="center" vertical="center"/>
    </xf>
    <xf numFmtId="0" fontId="14" fillId="10" borderId="17" xfId="2" applyFont="1" applyFill="1" applyBorder="1" applyAlignment="1">
      <alignment horizontal="center" vertical="center"/>
    </xf>
    <xf numFmtId="0" fontId="14" fillId="10" borderId="18" xfId="2" applyFont="1" applyFill="1" applyBorder="1" applyAlignment="1">
      <alignment horizontal="center" vertical="center"/>
    </xf>
    <xf numFmtId="0" fontId="32" fillId="0" borderId="10" xfId="2" applyFont="1" applyBorder="1" applyAlignment="1">
      <alignment horizontal="left"/>
    </xf>
    <xf numFmtId="0" fontId="32" fillId="0" borderId="11" xfId="2" applyFont="1" applyBorder="1" applyAlignment="1">
      <alignment horizontal="left"/>
    </xf>
    <xf numFmtId="0" fontId="32" fillId="0" borderId="12" xfId="2" applyFont="1" applyBorder="1" applyAlignment="1">
      <alignment horizontal="left"/>
    </xf>
    <xf numFmtId="0" fontId="34" fillId="0" borderId="10" xfId="2" applyFont="1" applyBorder="1" applyAlignment="1">
      <alignment horizontal="left"/>
    </xf>
    <xf numFmtId="0" fontId="34" fillId="0" borderId="12" xfId="2" applyFont="1" applyBorder="1" applyAlignment="1">
      <alignment horizontal="left"/>
    </xf>
    <xf numFmtId="0" fontId="15" fillId="2" borderId="20" xfId="3" applyFont="1" applyFill="1" applyBorder="1" applyAlignment="1" applyProtection="1">
      <alignment horizontal="center" vertical="center" textRotation="90"/>
    </xf>
    <xf numFmtId="0" fontId="15" fillId="2" borderId="7" xfId="3" applyFont="1" applyFill="1" applyBorder="1" applyAlignment="1" applyProtection="1">
      <alignment horizontal="center" vertical="center" textRotation="90"/>
    </xf>
    <xf numFmtId="0" fontId="2" fillId="4" borderId="5" xfId="0" applyFont="1" applyFill="1" applyBorder="1" applyAlignment="1">
      <alignment horizontal="center" vertical="center" wrapText="1" readingOrder="1"/>
    </xf>
    <xf numFmtId="0" fontId="2" fillId="4" borderId="6" xfId="0" applyFont="1" applyFill="1" applyBorder="1" applyAlignment="1">
      <alignment horizontal="center" vertical="center" wrapText="1" readingOrder="1"/>
    </xf>
    <xf numFmtId="0" fontId="2" fillId="4" borderId="21" xfId="0" applyFont="1" applyFill="1" applyBorder="1" applyAlignment="1">
      <alignment horizontal="center" vertical="center" wrapText="1" readingOrder="1"/>
    </xf>
    <xf numFmtId="0" fontId="2" fillId="4" borderId="22" xfId="0" applyFont="1" applyFill="1" applyBorder="1" applyAlignment="1">
      <alignment horizontal="center" vertical="center" wrapText="1" readingOrder="1"/>
    </xf>
    <xf numFmtId="0" fontId="0" fillId="0" borderId="9" xfId="0" applyBorder="1" applyAlignment="1">
      <alignment horizontal="center"/>
    </xf>
    <xf numFmtId="0" fontId="0" fillId="0" borderId="1" xfId="0" applyBorder="1" applyAlignment="1">
      <alignment horizontal="center" wrapText="1"/>
    </xf>
    <xf numFmtId="0" fontId="2" fillId="6" borderId="1" xfId="0" applyFont="1" applyFill="1" applyBorder="1" applyAlignment="1">
      <alignment horizontal="center" vertical="center" wrapText="1" readingOrder="1"/>
    </xf>
    <xf numFmtId="0" fontId="15" fillId="2" borderId="0" xfId="3" applyFont="1" applyFill="1" applyAlignment="1" applyProtection="1">
      <alignment horizontal="center" vertical="center" textRotation="90"/>
    </xf>
    <xf numFmtId="0" fontId="2" fillId="6" borderId="5" xfId="0" applyFont="1" applyFill="1" applyBorder="1" applyAlignment="1">
      <alignment horizontal="center" vertical="center" wrapText="1" readingOrder="1"/>
    </xf>
    <xf numFmtId="0" fontId="2" fillId="6" borderId="6" xfId="0" applyFont="1" applyFill="1" applyBorder="1" applyAlignment="1">
      <alignment horizontal="center" vertical="center" wrapText="1" readingOrder="1"/>
    </xf>
    <xf numFmtId="0" fontId="2" fillId="6" borderId="3" xfId="0" applyFont="1" applyFill="1" applyBorder="1" applyAlignment="1">
      <alignment horizontal="center" vertical="center" wrapText="1" readingOrder="1"/>
    </xf>
    <xf numFmtId="0" fontId="13" fillId="5" borderId="5" xfId="0" applyFont="1" applyFill="1" applyBorder="1" applyAlignment="1">
      <alignment horizontal="center" vertical="center" wrapText="1" readingOrder="1"/>
    </xf>
    <xf numFmtId="0" fontId="13" fillId="5" borderId="6" xfId="0" applyFont="1" applyFill="1" applyBorder="1" applyAlignment="1">
      <alignment horizontal="center" vertical="center" wrapText="1" readingOrder="1"/>
    </xf>
    <xf numFmtId="0" fontId="13" fillId="4" borderId="5" xfId="0" applyFont="1" applyFill="1" applyBorder="1" applyAlignment="1">
      <alignment horizontal="center" vertical="center" wrapText="1" readingOrder="1"/>
    </xf>
    <xf numFmtId="0" fontId="13" fillId="4" borderId="6" xfId="0" applyFont="1" applyFill="1" applyBorder="1" applyAlignment="1">
      <alignment horizontal="center" vertical="center" wrapText="1" readingOrder="1"/>
    </xf>
  </cellXfs>
  <cellStyles count="4">
    <cellStyle name="Hyperlink" xfId="3" builtinId="8"/>
    <cellStyle name="Normal" xfId="0" builtinId="0"/>
    <cellStyle name="Normal 10 2" xfId="2"/>
    <cellStyle name="Normal 2" xfId="1"/>
  </cellStyles>
  <dxfs count="0"/>
  <tableStyles count="0" defaultTableStyle="TableStyleMedium2" defaultPivotStyle="PivotStyleLight16"/>
  <colors>
    <mruColors>
      <color rgb="FFCC3300"/>
      <color rgb="FF9BC2E6"/>
      <color rgb="FF003366"/>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drawings/drawing1.xml><?xml version="1.0" encoding="utf-8"?>
<xdr:wsDr xmlns:xdr="http://schemas.openxmlformats.org/drawingml/2006/spreadsheetDrawing" xmlns:a="http://schemas.openxmlformats.org/drawingml/2006/main">
  <xdr:twoCellAnchor>
    <xdr:from>
      <xdr:col>25</xdr:col>
      <xdr:colOff>95250</xdr:colOff>
      <xdr:row>0</xdr:row>
      <xdr:rowOff>0</xdr:rowOff>
    </xdr:from>
    <xdr:to>
      <xdr:col>25</xdr:col>
      <xdr:colOff>544286</xdr:colOff>
      <xdr:row>0</xdr:row>
      <xdr:rowOff>0</xdr:rowOff>
    </xdr:to>
    <xdr:sp macro="" textlink="">
      <xdr:nvSpPr>
        <xdr:cNvPr id="51" name="Oval 50">
          <a:extLst>
            <a:ext uri="{FF2B5EF4-FFF2-40B4-BE49-F238E27FC236}">
              <a16:creationId xmlns:a16="http://schemas.microsoft.com/office/drawing/2014/main" id="{00000000-0008-0000-0000-000033000000}"/>
            </a:ext>
          </a:extLst>
        </xdr:cNvPr>
        <xdr:cNvSpPr/>
      </xdr:nvSpPr>
      <xdr:spPr>
        <a:xfrm>
          <a:off x="9348107" y="0"/>
          <a:ext cx="449036" cy="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1</a:t>
          </a:r>
        </a:p>
      </xdr:txBody>
    </xdr:sp>
    <xdr:clientData/>
  </xdr:twoCellAnchor>
  <xdr:twoCellAnchor>
    <xdr:from>
      <xdr:col>14</xdr:col>
      <xdr:colOff>59531</xdr:colOff>
      <xdr:row>2</xdr:row>
      <xdr:rowOff>535781</xdr:rowOff>
    </xdr:from>
    <xdr:to>
      <xdr:col>16</xdr:col>
      <xdr:colOff>595313</xdr:colOff>
      <xdr:row>4</xdr:row>
      <xdr:rowOff>178594</xdr:rowOff>
    </xdr:to>
    <xdr:sp macro="[0]!FilterToSummary" textlink="">
      <xdr:nvSpPr>
        <xdr:cNvPr id="2" name="Rectangle 1">
          <a:extLst>
            <a:ext uri="{FF2B5EF4-FFF2-40B4-BE49-F238E27FC236}">
              <a16:creationId xmlns:a16="http://schemas.microsoft.com/office/drawing/2014/main" id="{00000000-0008-0000-0000-000002000000}"/>
            </a:ext>
          </a:extLst>
        </xdr:cNvPr>
        <xdr:cNvSpPr/>
      </xdr:nvSpPr>
      <xdr:spPr>
        <a:xfrm>
          <a:off x="5334000" y="940594"/>
          <a:ext cx="1488282" cy="523875"/>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MY" sz="1100"/>
            <a:t>S</a:t>
          </a:r>
          <a:r>
            <a:rPr lang="en-MY" sz="1100" baseline="0"/>
            <a:t> U M M A R Y</a:t>
          </a:r>
          <a:endParaRPr lang="en-MY"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ketay\AppData\Local\Microsoft\Windows\Temporary%20Internet%20Files\Content.Outlook\DNNV325Z\Accounts_Story_Map_2013-01-30%20v4%20(3).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Users\hopha28\Desktop\HLBR\HLBR%20AIA%20CS%20-%20mastercop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ynamic Story Map MMF"/>
      <sheetName val="Dynamic Story Map"/>
      <sheetName val="Features"/>
      <sheetName val="Stories"/>
      <sheetName val="Goal_Activity Mapping"/>
      <sheetName val="Story Map_Pivot"/>
      <sheetName val="Release-Requirements"/>
      <sheetName val="Goal_Activities"/>
      <sheetName val="Activity_Features"/>
      <sheetName val="Feature Examples"/>
      <sheetName val="AC-Story Card - Feature Mapping"/>
      <sheetName val="Sheet1"/>
    </sheetNames>
    <sheetDataSet>
      <sheetData sheetId="0"/>
      <sheetData sheetId="1"/>
      <sheetData sheetId="2"/>
      <sheetData sheetId="3"/>
      <sheetData sheetId="4"/>
      <sheetData sheetId="5"/>
      <sheetData sheetId="6"/>
      <sheetData sheetId="7">
        <row r="2">
          <cell r="A2" t="str">
            <v>Registration</v>
          </cell>
          <cell r="B2" t="str">
            <v>Registration1</v>
          </cell>
          <cell r="C2" t="str">
            <v>Yes</v>
          </cell>
          <cell r="D2" t="str">
            <v>Receive Employer Information</v>
          </cell>
        </row>
        <row r="3">
          <cell r="A3" t="str">
            <v>Registration</v>
          </cell>
          <cell r="B3" t="str">
            <v>Registration2</v>
          </cell>
          <cell r="C3" t="str">
            <v>Yes</v>
          </cell>
          <cell r="D3" t="str">
            <v>Register Employer</v>
          </cell>
        </row>
        <row r="4">
          <cell r="A4" t="str">
            <v>Contact Management</v>
          </cell>
          <cell r="B4" t="str">
            <v>Contact Management1</v>
          </cell>
          <cell r="C4" t="str">
            <v>Yes</v>
          </cell>
          <cell r="D4" t="str">
            <v>Setup Contact</v>
          </cell>
        </row>
        <row r="5">
          <cell r="A5" t="str">
            <v>Contact Management</v>
          </cell>
          <cell r="B5" t="str">
            <v>Contact Management2</v>
          </cell>
          <cell r="C5" t="str">
            <v>Yes</v>
          </cell>
          <cell r="D5" t="str">
            <v>Update Contact</v>
          </cell>
        </row>
        <row r="6">
          <cell r="A6" t="str">
            <v>Contact Management</v>
          </cell>
          <cell r="B6" t="str">
            <v>Contact Management3</v>
          </cell>
          <cell r="C6" t="str">
            <v>Yes</v>
          </cell>
          <cell r="D6" t="str">
            <v>View &amp; Search Contact</v>
          </cell>
        </row>
        <row r="7">
          <cell r="A7" t="str">
            <v>Account Decision Making</v>
          </cell>
          <cell r="B7" t="str">
            <v>Account Decision Making1</v>
          </cell>
          <cell r="C7" t="str">
            <v>Yes</v>
          </cell>
          <cell r="D7" t="str">
            <v>Segment and Assign Account &amp; Perform Decision Making</v>
          </cell>
        </row>
        <row r="8">
          <cell r="A8" t="str">
            <v>Account Maintainance</v>
          </cell>
          <cell r="B8" t="str">
            <v>Account Maintainance1</v>
          </cell>
          <cell r="C8" t="str">
            <v>Yes</v>
          </cell>
          <cell r="D8" t="str">
            <v>Record and Update Account Information</v>
          </cell>
        </row>
        <row r="9">
          <cell r="A9" t="str">
            <v>Account Maintainance</v>
          </cell>
          <cell r="B9" t="str">
            <v>Account Maintainance2</v>
          </cell>
          <cell r="C9" t="str">
            <v>Yes</v>
          </cell>
          <cell r="D9" t="str">
            <v>Audit Premium</v>
          </cell>
        </row>
        <row r="10">
          <cell r="A10" t="str">
            <v>Payroll &amp; Premium Reporting</v>
          </cell>
          <cell r="B10" t="str">
            <v>Payroll &amp; Premium Reporting1</v>
          </cell>
          <cell r="C10" t="str">
            <v>Yes</v>
          </cell>
          <cell r="D10" t="str">
            <v>Collect &amp; Validate Payroll Information</v>
          </cell>
        </row>
        <row r="11">
          <cell r="A11" t="str">
            <v>Payroll &amp; Premium Reporting</v>
          </cell>
          <cell r="B11" t="str">
            <v>Payroll &amp; Premium Reporting2</v>
          </cell>
          <cell r="C11" t="str">
            <v>Yes</v>
          </cell>
          <cell r="D11" t="str">
            <v>Calculate Premium</v>
          </cell>
        </row>
        <row r="12">
          <cell r="A12" t="str">
            <v>Administration</v>
          </cell>
          <cell r="B12" t="str">
            <v>Administration1</v>
          </cell>
          <cell r="C12" t="str">
            <v>Yes</v>
          </cell>
          <cell r="D12" t="str">
            <v>Manage Product Model</v>
          </cell>
        </row>
        <row r="13">
          <cell r="A13" t="str">
            <v>Administration</v>
          </cell>
          <cell r="B13" t="str">
            <v>Administration2</v>
          </cell>
          <cell r="C13" t="str">
            <v>Yes</v>
          </cell>
          <cell r="D13" t="str">
            <v>Manage Rating</v>
          </cell>
        </row>
        <row r="14">
          <cell r="A14" t="str">
            <v>Administration</v>
          </cell>
          <cell r="B14" t="str">
            <v>Administration3</v>
          </cell>
          <cell r="C14" t="str">
            <v>Yes</v>
          </cell>
          <cell r="D14" t="str">
            <v>Usability</v>
          </cell>
        </row>
        <row r="15">
          <cell r="A15" t="str">
            <v>Administration</v>
          </cell>
          <cell r="B15" t="str">
            <v>Administration4</v>
          </cell>
          <cell r="C15" t="str">
            <v>Yes</v>
          </cell>
          <cell r="D15" t="str">
            <v>Manage Security Access &amp; User Roles</v>
          </cell>
        </row>
        <row r="16">
          <cell r="A16" t="str">
            <v>Administration</v>
          </cell>
          <cell r="B16" t="str">
            <v>Administration5</v>
          </cell>
          <cell r="C16" t="str">
            <v>Yes</v>
          </cell>
          <cell r="D16" t="str">
            <v>Manage Reporting</v>
          </cell>
        </row>
        <row r="17">
          <cell r="B17" t="str">
            <v>0</v>
          </cell>
          <cell r="C17" t="str">
            <v>Yes</v>
          </cell>
        </row>
        <row r="18">
          <cell r="B18" t="str">
            <v>0</v>
          </cell>
          <cell r="C18" t="str">
            <v>Yes</v>
          </cell>
        </row>
        <row r="19">
          <cell r="B19" t="str">
            <v>0</v>
          </cell>
          <cell r="C19" t="str">
            <v>Yes</v>
          </cell>
        </row>
        <row r="20">
          <cell r="B20" t="str">
            <v>0</v>
          </cell>
          <cell r="C20" t="str">
            <v>Yes</v>
          </cell>
        </row>
        <row r="21">
          <cell r="B21" t="str">
            <v>0</v>
          </cell>
          <cell r="C21" t="str">
            <v>Yes</v>
          </cell>
        </row>
        <row r="22">
          <cell r="B22" t="str">
            <v>0</v>
          </cell>
          <cell r="C22" t="str">
            <v>Yes</v>
          </cell>
        </row>
        <row r="23">
          <cell r="B23" t="str">
            <v>0</v>
          </cell>
          <cell r="C23" t="str">
            <v>Yes</v>
          </cell>
        </row>
        <row r="24">
          <cell r="B24" t="str">
            <v>0</v>
          </cell>
          <cell r="C24" t="str">
            <v>Yes</v>
          </cell>
        </row>
        <row r="25">
          <cell r="B25" t="str">
            <v>0</v>
          </cell>
          <cell r="C25" t="str">
            <v>Yes</v>
          </cell>
        </row>
        <row r="26">
          <cell r="B26" t="str">
            <v>0</v>
          </cell>
          <cell r="C26" t="str">
            <v>Yes</v>
          </cell>
        </row>
        <row r="27">
          <cell r="B27" t="str">
            <v>0</v>
          </cell>
          <cell r="C27" t="str">
            <v>Yes</v>
          </cell>
        </row>
        <row r="28">
          <cell r="B28" t="str">
            <v>0</v>
          </cell>
          <cell r="C28" t="str">
            <v>Yes</v>
          </cell>
        </row>
        <row r="29">
          <cell r="B29" t="str">
            <v>0</v>
          </cell>
          <cell r="C29" t="str">
            <v>Yes</v>
          </cell>
        </row>
        <row r="30">
          <cell r="B30" t="str">
            <v>0</v>
          </cell>
          <cell r="C30" t="str">
            <v>Yes</v>
          </cell>
        </row>
        <row r="31">
          <cell r="B31" t="str">
            <v>0</v>
          </cell>
          <cell r="C31" t="str">
            <v>Yes</v>
          </cell>
        </row>
        <row r="32">
          <cell r="B32" t="str">
            <v>0</v>
          </cell>
          <cell r="C32" t="str">
            <v>Yes</v>
          </cell>
        </row>
        <row r="33">
          <cell r="B33" t="str">
            <v>0</v>
          </cell>
          <cell r="C33" t="str">
            <v>Yes</v>
          </cell>
        </row>
        <row r="34">
          <cell r="B34" t="str">
            <v>0</v>
          </cell>
          <cell r="C34" t="str">
            <v>Yes</v>
          </cell>
        </row>
        <row r="35">
          <cell r="B35" t="str">
            <v>0</v>
          </cell>
          <cell r="C35" t="str">
            <v>Yes</v>
          </cell>
        </row>
        <row r="36">
          <cell r="B36" t="str">
            <v>0</v>
          </cell>
          <cell r="C36" t="str">
            <v>Yes</v>
          </cell>
        </row>
      </sheetData>
      <sheetData sheetId="8">
        <row r="2">
          <cell r="A2" t="str">
            <v>Receive Employer Information</v>
          </cell>
          <cell r="B2" t="str">
            <v>Receive Employer Information1</v>
          </cell>
          <cell r="C2" t="str">
            <v>Receive Employer InformationMMF1_</v>
          </cell>
          <cell r="D2" t="str">
            <v>Receive Employer InformationMMF1_1</v>
          </cell>
          <cell r="E2" t="str">
            <v>Yes</v>
          </cell>
          <cell r="F2" t="str">
            <v>Collect Employer information via Portal</v>
          </cell>
        </row>
        <row r="3">
          <cell r="A3" t="str">
            <v>Receive Employer Information</v>
          </cell>
          <cell r="B3" t="str">
            <v>Receive Employer Information2</v>
          </cell>
          <cell r="C3" t="str">
            <v>Receive Employer InformationMMF1_</v>
          </cell>
          <cell r="D3" t="str">
            <v>Receive Employer InformationMMF1_2</v>
          </cell>
          <cell r="E3" t="str">
            <v>Yes</v>
          </cell>
          <cell r="F3" t="str">
            <v>Collect Employer information via Phone/Email/Fax</v>
          </cell>
        </row>
        <row r="4">
          <cell r="A4" t="str">
            <v>Register Employer</v>
          </cell>
          <cell r="B4" t="str">
            <v>Register Employer1</v>
          </cell>
          <cell r="C4" t="str">
            <v>Register EmployerMMF1_</v>
          </cell>
          <cell r="D4" t="str">
            <v>Register EmployerMMF1_1</v>
          </cell>
          <cell r="E4" t="str">
            <v>Yes</v>
          </cell>
          <cell r="F4" t="str">
            <v>Creat Organization</v>
          </cell>
        </row>
        <row r="5">
          <cell r="A5" t="str">
            <v>Register Employer</v>
          </cell>
          <cell r="B5" t="str">
            <v>Register Employer2</v>
          </cell>
          <cell r="C5" t="str">
            <v>Register EmployerMMF1_</v>
          </cell>
          <cell r="D5" t="str">
            <v>Register EmployerMMF1_2</v>
          </cell>
          <cell r="E5" t="str">
            <v>Yes</v>
          </cell>
          <cell r="F5" t="str">
            <v>Create Employer Account</v>
          </cell>
        </row>
        <row r="6">
          <cell r="A6" t="str">
            <v>Setup Contact</v>
          </cell>
          <cell r="B6" t="str">
            <v>Setup Contact1</v>
          </cell>
          <cell r="C6" t="str">
            <v>Setup ContactMMF2_</v>
          </cell>
          <cell r="D6" t="str">
            <v>Setup ContactMMF2_1</v>
          </cell>
          <cell r="E6" t="str">
            <v>Yes</v>
          </cell>
          <cell r="F6" t="str">
            <v>Create Contact</v>
          </cell>
        </row>
        <row r="7">
          <cell r="A7" t="str">
            <v>Setup Contact</v>
          </cell>
          <cell r="B7" t="str">
            <v>Setup Contact2</v>
          </cell>
          <cell r="C7" t="str">
            <v>Setup ContactMMF2_</v>
          </cell>
          <cell r="D7" t="str">
            <v>Setup ContactMMF2_2</v>
          </cell>
          <cell r="E7" t="str">
            <v>Yes</v>
          </cell>
          <cell r="F7" t="str">
            <v>Check for Duplicate Contacts</v>
          </cell>
        </row>
        <row r="8">
          <cell r="A8" t="str">
            <v>Setup Contact</v>
          </cell>
          <cell r="B8" t="str">
            <v>Setup Contact3</v>
          </cell>
          <cell r="C8" t="str">
            <v>Setup ContactMMF2_</v>
          </cell>
          <cell r="D8" t="str">
            <v>Setup ContactMMF2_3</v>
          </cell>
          <cell r="E8" t="str">
            <v>Yes</v>
          </cell>
          <cell r="F8" t="str">
            <v>Link Contact</v>
          </cell>
        </row>
        <row r="9">
          <cell r="A9" t="str">
            <v>Update Contact</v>
          </cell>
          <cell r="B9" t="str">
            <v>Update Contact1</v>
          </cell>
          <cell r="C9" t="str">
            <v>Update ContactMMF2_</v>
          </cell>
          <cell r="D9" t="str">
            <v>Update ContactMMF2_1</v>
          </cell>
          <cell r="E9" t="str">
            <v>Yes</v>
          </cell>
          <cell r="F9" t="str">
            <v xml:space="preserve">Change Contact Information </v>
          </cell>
        </row>
        <row r="10">
          <cell r="A10" t="str">
            <v>Update Contact</v>
          </cell>
          <cell r="B10" t="str">
            <v>Update Contact2</v>
          </cell>
          <cell r="C10" t="str">
            <v>Update ContactMMF2_</v>
          </cell>
          <cell r="D10" t="str">
            <v>Update ContactMMF2_2</v>
          </cell>
          <cell r="E10" t="str">
            <v>Yes</v>
          </cell>
          <cell r="F10" t="str">
            <v>Merge Contact</v>
          </cell>
        </row>
        <row r="11">
          <cell r="A11" t="str">
            <v>View &amp; Search Contact</v>
          </cell>
          <cell r="B11" t="str">
            <v>View &amp; Search Contact1</v>
          </cell>
          <cell r="C11" t="str">
            <v>View &amp; Search ContactMMF2_</v>
          </cell>
          <cell r="D11" t="str">
            <v>View &amp; Search ContactMMF2_1</v>
          </cell>
          <cell r="E11" t="str">
            <v>Yes</v>
          </cell>
          <cell r="F11" t="str">
            <v>Search / View Contact</v>
          </cell>
        </row>
        <row r="12">
          <cell r="A12" t="str">
            <v>Segment and Assign Account &amp; Perform Decision Making</v>
          </cell>
          <cell r="B12" t="str">
            <v>Segment and Assign Account &amp; Perform Decision Making1</v>
          </cell>
          <cell r="C12" t="str">
            <v>Segment and Assign Account &amp; Perform Decision MakingMMF3_</v>
          </cell>
          <cell r="D12" t="str">
            <v>Segment and Assign Account &amp; Perform Decision MakingMMF3_1</v>
          </cell>
          <cell r="E12" t="str">
            <v>Yes</v>
          </cell>
          <cell r="F12" t="str">
            <v>Classify &amp; Assign Account (into pre defined categories based on complexity / business activity)</v>
          </cell>
        </row>
        <row r="13">
          <cell r="A13" t="str">
            <v>Record and Update Account Information</v>
          </cell>
          <cell r="B13" t="str">
            <v>Record and Update Account Information1</v>
          </cell>
          <cell r="C13" t="str">
            <v>Record and Update Account InformationMMF4_</v>
          </cell>
          <cell r="D13" t="str">
            <v>Record and Update Account InformationMMF4_1</v>
          </cell>
          <cell r="E13" t="str">
            <v>Yes</v>
          </cell>
          <cell r="F13" t="str">
            <v>Change Account Information</v>
          </cell>
        </row>
        <row r="14">
          <cell r="A14" t="str">
            <v>Record and Update Account Information</v>
          </cell>
          <cell r="B14" t="str">
            <v>Record and Update Account Information2</v>
          </cell>
          <cell r="C14" t="str">
            <v>Record and Update Account InformationMMF4_</v>
          </cell>
          <cell r="D14" t="str">
            <v>Record and Update Account InformationMMF4_2</v>
          </cell>
          <cell r="E14" t="str">
            <v>Yes</v>
          </cell>
          <cell r="F14" t="str">
            <v>Close Account</v>
          </cell>
        </row>
        <row r="15">
          <cell r="A15" t="str">
            <v>Record and Update Account Information</v>
          </cell>
          <cell r="B15" t="str">
            <v>Record and Update Account Information3</v>
          </cell>
          <cell r="C15" t="str">
            <v>Record and Update Account InformationMMF4_</v>
          </cell>
          <cell r="D15" t="str">
            <v>Record and Update Account InformationMMF4_3</v>
          </cell>
          <cell r="E15" t="str">
            <v>Yes</v>
          </cell>
          <cell r="F15" t="str">
            <v>Re-instate Account</v>
          </cell>
        </row>
        <row r="16">
          <cell r="A16" t="str">
            <v>Record and Update Account Information</v>
          </cell>
          <cell r="B16" t="str">
            <v>Record and Update Account Information4</v>
          </cell>
          <cell r="C16" t="str">
            <v>Record and Update Account InformationMMF4_</v>
          </cell>
          <cell r="D16" t="str">
            <v>Record and Update Account InformationMMF4_4</v>
          </cell>
          <cell r="E16" t="str">
            <v>Yes</v>
          </cell>
          <cell r="F16" t="str">
            <v>Change Organization Information</v>
          </cell>
        </row>
        <row r="17">
          <cell r="A17" t="str">
            <v>Record and Update Account Information</v>
          </cell>
          <cell r="B17" t="str">
            <v>Record and Update Account Information5</v>
          </cell>
          <cell r="C17" t="str">
            <v>Record and Update Account InformationMMF4_</v>
          </cell>
          <cell r="D17" t="str">
            <v>Record and Update Account InformationMMF4_5</v>
          </cell>
          <cell r="E17" t="str">
            <v>Yes</v>
          </cell>
          <cell r="F17" t="str">
            <v>Close Organization</v>
          </cell>
        </row>
        <row r="18">
          <cell r="A18" t="str">
            <v>Record and Update Account Information</v>
          </cell>
          <cell r="B18" t="str">
            <v>Record and Update Account Information6</v>
          </cell>
          <cell r="C18" t="str">
            <v>Record and Update Account InformationMMF4_</v>
          </cell>
          <cell r="D18" t="str">
            <v>Record and Update Account InformationMMF4_6</v>
          </cell>
          <cell r="E18" t="str">
            <v>Yes</v>
          </cell>
          <cell r="F18" t="str">
            <v>Change Business Activity / Policy</v>
          </cell>
        </row>
        <row r="19">
          <cell r="A19" t="str">
            <v>Record and Update Account Information</v>
          </cell>
          <cell r="B19" t="str">
            <v>Record and Update Account Information7</v>
          </cell>
          <cell r="C19" t="str">
            <v>Record and Update Account InformationMMF4_</v>
          </cell>
          <cell r="D19" t="str">
            <v>Record and Update Account InformationMMF4_7</v>
          </cell>
          <cell r="E19" t="str">
            <v>Yes</v>
          </cell>
          <cell r="F19" t="str">
            <v>Renew Business Activity / Policy</v>
          </cell>
        </row>
        <row r="20">
          <cell r="A20" t="str">
            <v>Record and Update Account Information</v>
          </cell>
          <cell r="B20" t="str">
            <v>Record and Update Account Information8</v>
          </cell>
          <cell r="C20" t="str">
            <v>Record and Update Account InformationMMF4_</v>
          </cell>
          <cell r="D20" t="str">
            <v>Record and Update Account InformationMMF4_8</v>
          </cell>
          <cell r="E20" t="str">
            <v>Yes</v>
          </cell>
          <cell r="F20" t="str">
            <v>Rewrite Business Activity / Policy</v>
          </cell>
        </row>
        <row r="21">
          <cell r="A21" t="str">
            <v>Record and Update Account Information</v>
          </cell>
          <cell r="B21" t="str">
            <v>Record and Update Account Information9</v>
          </cell>
          <cell r="C21" t="str">
            <v>Record and Update Account InformationMMF4_</v>
          </cell>
          <cell r="D21" t="str">
            <v>Record and Update Account InformationMMF4_9</v>
          </cell>
          <cell r="E21" t="str">
            <v>Yes</v>
          </cell>
          <cell r="F21" t="str">
            <v>Re-instate Business Activity / Policy</v>
          </cell>
        </row>
        <row r="22">
          <cell r="A22" t="str">
            <v>Record and Update Account Information</v>
          </cell>
          <cell r="B22" t="str">
            <v>Record and Update Account Information10</v>
          </cell>
          <cell r="C22" t="str">
            <v>Record and Update Account InformationMMF4_</v>
          </cell>
          <cell r="D22" t="str">
            <v>Record and Update Account InformationMMF4_10</v>
          </cell>
          <cell r="E22" t="str">
            <v>Yes</v>
          </cell>
          <cell r="F22" t="str">
            <v>Cancell Business Activity / Policy</v>
          </cell>
        </row>
        <row r="23">
          <cell r="A23" t="str">
            <v>Audit Premium</v>
          </cell>
          <cell r="B23" t="str">
            <v>Audit Premium1</v>
          </cell>
          <cell r="C23" t="str">
            <v>Audit PremiumMMF4_</v>
          </cell>
          <cell r="D23" t="str">
            <v>Audit PremiumMMF4_1</v>
          </cell>
          <cell r="E23" t="str">
            <v>Yes</v>
          </cell>
          <cell r="F23" t="str">
            <v>Define Audit Schedule</v>
          </cell>
        </row>
        <row r="24">
          <cell r="A24" t="str">
            <v>Audit Premium</v>
          </cell>
          <cell r="B24" t="str">
            <v>Audit Premium2</v>
          </cell>
          <cell r="C24" t="str">
            <v>Audit PremiumMMF4_</v>
          </cell>
          <cell r="D24" t="str">
            <v>Audit PremiumMMF4_2</v>
          </cell>
          <cell r="E24" t="str">
            <v>Yes</v>
          </cell>
          <cell r="F24" t="str">
            <v>View &amp; Maintain Audit Summary</v>
          </cell>
        </row>
        <row r="25">
          <cell r="A25" t="str">
            <v>Collect &amp; Validate Payroll Information</v>
          </cell>
          <cell r="B25" t="str">
            <v>Collect &amp; Validate Payroll Information1</v>
          </cell>
          <cell r="C25" t="str">
            <v>Collect &amp; Validate Payroll InformationMMF5_</v>
          </cell>
          <cell r="D25" t="str">
            <v>Collect &amp; Validate Payroll InformationMMF5_1</v>
          </cell>
          <cell r="E25" t="str">
            <v>Yes</v>
          </cell>
          <cell r="F25" t="str">
            <v>Collect &amp; Validate Payroll Information</v>
          </cell>
        </row>
        <row r="26">
          <cell r="A26" t="str">
            <v>Calculate Premium</v>
          </cell>
          <cell r="B26" t="str">
            <v>Calculate Premium1</v>
          </cell>
          <cell r="C26" t="str">
            <v>Calculate PremiumMMF5_</v>
          </cell>
          <cell r="D26" t="str">
            <v>Calculate PremiumMMF5_1</v>
          </cell>
          <cell r="E26" t="str">
            <v>Yes</v>
          </cell>
          <cell r="F26" t="str">
            <v>Calculate Premium</v>
          </cell>
        </row>
        <row r="27">
          <cell r="A27" t="str">
            <v>Manage Product Model</v>
          </cell>
          <cell r="B27" t="str">
            <v>Manage Product Model1</v>
          </cell>
          <cell r="C27" t="str">
            <v>Manage Product ModelMMF3_</v>
          </cell>
          <cell r="D27" t="str">
            <v>Manage Product ModelMMF3_1</v>
          </cell>
          <cell r="E27" t="str">
            <v>Yes</v>
          </cell>
          <cell r="F27" t="str">
            <v>Define Product Model</v>
          </cell>
        </row>
        <row r="28">
          <cell r="A28" t="str">
            <v>Manage Rating</v>
          </cell>
          <cell r="B28" t="str">
            <v>Manage Rating1</v>
          </cell>
          <cell r="C28" t="str">
            <v>Manage RatingMMF3_</v>
          </cell>
          <cell r="D28" t="str">
            <v>Manage RatingMMF3_1</v>
          </cell>
          <cell r="E28" t="str">
            <v>Yes</v>
          </cell>
          <cell r="F28" t="str">
            <v>Configure Rate Book</v>
          </cell>
        </row>
        <row r="29">
          <cell r="A29" t="str">
            <v>Manage Rating</v>
          </cell>
          <cell r="B29" t="str">
            <v>Manage Rating2</v>
          </cell>
          <cell r="C29" t="str">
            <v>Manage RatingMMF3_</v>
          </cell>
          <cell r="D29" t="str">
            <v>Manage RatingMMF3_2</v>
          </cell>
          <cell r="E29" t="str">
            <v>Yes</v>
          </cell>
          <cell r="F29" t="str">
            <v>Configure Rate Table</v>
          </cell>
        </row>
        <row r="30">
          <cell r="A30" t="str">
            <v>Usability</v>
          </cell>
          <cell r="B30" t="str">
            <v>Usability1</v>
          </cell>
          <cell r="C30" t="str">
            <v>UsabilityMMF6_</v>
          </cell>
          <cell r="D30" t="str">
            <v>UsabilityMMF6_1</v>
          </cell>
          <cell r="E30" t="str">
            <v>Yes</v>
          </cell>
          <cell r="F30" t="str">
            <v>System Administration</v>
          </cell>
        </row>
        <row r="31">
          <cell r="A31" t="str">
            <v>Usability</v>
          </cell>
          <cell r="B31" t="str">
            <v>Usability2</v>
          </cell>
          <cell r="C31" t="str">
            <v>UsabilityMMF6_</v>
          </cell>
          <cell r="D31" t="str">
            <v>UsabilityMMF6_2</v>
          </cell>
          <cell r="E31" t="str">
            <v>Yes</v>
          </cell>
          <cell r="F31" t="str">
            <v>Help Functionality</v>
          </cell>
        </row>
        <row r="32">
          <cell r="A32" t="str">
            <v>Manage Security Access &amp; User Roles</v>
          </cell>
          <cell r="B32" t="str">
            <v>Manage Security Access &amp; User Roles1</v>
          </cell>
          <cell r="C32" t="str">
            <v>Manage Security Access &amp; User RolesMMF6_</v>
          </cell>
          <cell r="D32" t="str">
            <v>Manage Security Access &amp; User RolesMMF6_1</v>
          </cell>
          <cell r="E32" t="str">
            <v>Yes</v>
          </cell>
          <cell r="F32" t="str">
            <v>Define User Roles &amp; Permissions</v>
          </cell>
        </row>
        <row r="33">
          <cell r="A33" t="str">
            <v>Manage Security Access &amp; User Roles</v>
          </cell>
          <cell r="B33" t="str">
            <v>Manage Security Access &amp; User Roles2</v>
          </cell>
          <cell r="C33" t="str">
            <v>Manage Security Access &amp; User RolesMMF6_</v>
          </cell>
          <cell r="D33" t="str">
            <v>Manage Security Access &amp; User RolesMMF6_2</v>
          </cell>
          <cell r="E33" t="str">
            <v>Yes</v>
          </cell>
          <cell r="F33" t="str">
            <v>Define Organization Heirarchy</v>
          </cell>
        </row>
        <row r="34">
          <cell r="A34" t="str">
            <v>Manage Reporting</v>
          </cell>
          <cell r="B34" t="str">
            <v>Manage Reporting1</v>
          </cell>
          <cell r="C34" t="str">
            <v>Manage ReportingMMF6_</v>
          </cell>
          <cell r="D34" t="str">
            <v>Manage ReportingMMF6_1</v>
          </cell>
          <cell r="E34" t="str">
            <v>Yes</v>
          </cell>
          <cell r="F34" t="str">
            <v>Manage Reporting</v>
          </cell>
        </row>
        <row r="35">
          <cell r="B35" t="str">
            <v>0</v>
          </cell>
          <cell r="C35" t="str">
            <v>MMF_</v>
          </cell>
          <cell r="D35" t="str">
            <v>MMF_1</v>
          </cell>
          <cell r="E35" t="str">
            <v>Yes</v>
          </cell>
        </row>
        <row r="36">
          <cell r="B36" t="str">
            <v>0</v>
          </cell>
          <cell r="C36" t="str">
            <v>MMF_</v>
          </cell>
          <cell r="D36" t="str">
            <v>MMF_2</v>
          </cell>
          <cell r="E36" t="str">
            <v>Yes</v>
          </cell>
        </row>
        <row r="37">
          <cell r="B37" t="str">
            <v>0</v>
          </cell>
          <cell r="C37" t="str">
            <v>MMF_</v>
          </cell>
          <cell r="D37" t="str">
            <v>MMF_3</v>
          </cell>
          <cell r="E37" t="str">
            <v>Yes</v>
          </cell>
        </row>
        <row r="38">
          <cell r="B38" t="str">
            <v>0</v>
          </cell>
          <cell r="C38" t="str">
            <v>MMF_</v>
          </cell>
          <cell r="D38" t="str">
            <v>MMF_4</v>
          </cell>
          <cell r="E38" t="str">
            <v>Yes</v>
          </cell>
        </row>
        <row r="39">
          <cell r="B39" t="str">
            <v>0</v>
          </cell>
          <cell r="C39" t="str">
            <v>MMF_</v>
          </cell>
          <cell r="D39" t="str">
            <v>MMF_5</v>
          </cell>
          <cell r="E39" t="str">
            <v>Yes</v>
          </cell>
        </row>
        <row r="40">
          <cell r="B40" t="str">
            <v>0</v>
          </cell>
          <cell r="C40" t="str">
            <v>MMF_</v>
          </cell>
          <cell r="D40" t="str">
            <v>MMF_6</v>
          </cell>
          <cell r="E40" t="str">
            <v>Yes</v>
          </cell>
        </row>
        <row r="41">
          <cell r="B41" t="str">
            <v>0</v>
          </cell>
          <cell r="C41" t="str">
            <v>MMF_</v>
          </cell>
          <cell r="D41" t="str">
            <v>MMF_7</v>
          </cell>
          <cell r="E41" t="str">
            <v>Yes</v>
          </cell>
        </row>
        <row r="42">
          <cell r="B42" t="str">
            <v>0</v>
          </cell>
          <cell r="C42" t="str">
            <v>MMF_</v>
          </cell>
          <cell r="D42" t="str">
            <v>MMF_8</v>
          </cell>
          <cell r="E42" t="str">
            <v>Yes</v>
          </cell>
        </row>
        <row r="43">
          <cell r="B43" t="str">
            <v>0</v>
          </cell>
          <cell r="C43" t="str">
            <v>MMF_</v>
          </cell>
          <cell r="D43" t="str">
            <v>MMF_9</v>
          </cell>
          <cell r="E43" t="str">
            <v>Yes</v>
          </cell>
        </row>
        <row r="44">
          <cell r="B44" t="str">
            <v>0</v>
          </cell>
          <cell r="C44" t="str">
            <v>MMF_</v>
          </cell>
          <cell r="D44" t="str">
            <v>MMF_10</v>
          </cell>
          <cell r="E44" t="str">
            <v>Yes</v>
          </cell>
        </row>
        <row r="45">
          <cell r="B45" t="str">
            <v>0</v>
          </cell>
          <cell r="C45" t="str">
            <v>MMF_</v>
          </cell>
          <cell r="D45" t="str">
            <v>MMF_11</v>
          </cell>
          <cell r="E45" t="str">
            <v>Yes</v>
          </cell>
        </row>
        <row r="46">
          <cell r="B46" t="str">
            <v>0</v>
          </cell>
          <cell r="C46" t="str">
            <v>MMF_</v>
          </cell>
          <cell r="D46" t="str">
            <v>MMF_12</v>
          </cell>
          <cell r="E46" t="str">
            <v>Yes</v>
          </cell>
        </row>
        <row r="47">
          <cell r="B47" t="str">
            <v>0</v>
          </cell>
          <cell r="C47" t="str">
            <v>MMF_</v>
          </cell>
          <cell r="D47" t="str">
            <v>MMF_13</v>
          </cell>
          <cell r="E47" t="str">
            <v>Yes</v>
          </cell>
        </row>
        <row r="48">
          <cell r="B48" t="str">
            <v>0</v>
          </cell>
          <cell r="C48" t="str">
            <v>MMF_</v>
          </cell>
          <cell r="D48" t="str">
            <v>MMF_14</v>
          </cell>
          <cell r="E48" t="str">
            <v>Yes</v>
          </cell>
        </row>
        <row r="49">
          <cell r="B49" t="str">
            <v>0</v>
          </cell>
          <cell r="C49" t="str">
            <v>MMF_</v>
          </cell>
          <cell r="D49" t="str">
            <v>MMF_15</v>
          </cell>
          <cell r="E49" t="str">
            <v>Yes</v>
          </cell>
        </row>
        <row r="50">
          <cell r="B50" t="str">
            <v>0</v>
          </cell>
          <cell r="C50" t="str">
            <v>MMF_</v>
          </cell>
          <cell r="D50" t="str">
            <v>MMF_16</v>
          </cell>
          <cell r="E50" t="str">
            <v>Yes</v>
          </cell>
        </row>
        <row r="51">
          <cell r="B51" t="str">
            <v>0</v>
          </cell>
          <cell r="C51" t="str">
            <v>MMF_</v>
          </cell>
          <cell r="D51" t="str">
            <v>MMF_17</v>
          </cell>
          <cell r="E51" t="str">
            <v>Yes</v>
          </cell>
        </row>
        <row r="52">
          <cell r="B52" t="str">
            <v>0</v>
          </cell>
          <cell r="C52" t="str">
            <v>MMF_</v>
          </cell>
          <cell r="D52" t="str">
            <v>MMF_18</v>
          </cell>
          <cell r="E52" t="str">
            <v>Yes</v>
          </cell>
        </row>
        <row r="53">
          <cell r="B53" t="str">
            <v>0</v>
          </cell>
          <cell r="C53" t="str">
            <v>MMF_</v>
          </cell>
          <cell r="D53" t="str">
            <v>MMF_19</v>
          </cell>
          <cell r="E53" t="str">
            <v>Yes</v>
          </cell>
        </row>
        <row r="54">
          <cell r="B54" t="str">
            <v>0</v>
          </cell>
          <cell r="C54" t="str">
            <v>MMF_</v>
          </cell>
          <cell r="D54" t="str">
            <v>MMF_20</v>
          </cell>
          <cell r="E54" t="str">
            <v>Yes</v>
          </cell>
        </row>
        <row r="55">
          <cell r="B55" t="str">
            <v>0</v>
          </cell>
          <cell r="C55" t="str">
            <v>MMF_</v>
          </cell>
          <cell r="D55" t="str">
            <v>MMF_21</v>
          </cell>
          <cell r="E55" t="str">
            <v>Yes</v>
          </cell>
        </row>
        <row r="56">
          <cell r="B56" t="str">
            <v>0</v>
          </cell>
          <cell r="C56" t="str">
            <v>MMF_</v>
          </cell>
          <cell r="D56" t="str">
            <v>MMF_22</v>
          </cell>
          <cell r="E56" t="str">
            <v>Yes</v>
          </cell>
        </row>
        <row r="57">
          <cell r="B57" t="str">
            <v>0</v>
          </cell>
          <cell r="C57" t="str">
            <v>MMF_</v>
          </cell>
          <cell r="D57" t="str">
            <v>MMF_23</v>
          </cell>
          <cell r="E57" t="str">
            <v>Yes</v>
          </cell>
        </row>
        <row r="58">
          <cell r="B58" t="str">
            <v>0</v>
          </cell>
          <cell r="C58" t="str">
            <v>MMF_</v>
          </cell>
          <cell r="D58" t="str">
            <v>MMF_24</v>
          </cell>
          <cell r="E58" t="str">
            <v>Yes</v>
          </cell>
        </row>
        <row r="59">
          <cell r="B59" t="str">
            <v>0</v>
          </cell>
          <cell r="C59" t="str">
            <v>MMF_</v>
          </cell>
          <cell r="D59" t="str">
            <v>MMF_25</v>
          </cell>
          <cell r="E59" t="str">
            <v>Yes</v>
          </cell>
        </row>
        <row r="60">
          <cell r="B60" t="str">
            <v>0</v>
          </cell>
          <cell r="C60" t="str">
            <v>MMF_</v>
          </cell>
          <cell r="D60" t="str">
            <v>MMF_26</v>
          </cell>
          <cell r="E60" t="str">
            <v>Yes</v>
          </cell>
        </row>
        <row r="61">
          <cell r="B61" t="str">
            <v>0</v>
          </cell>
          <cell r="C61" t="str">
            <v>MMF_</v>
          </cell>
          <cell r="D61" t="str">
            <v>MMF_27</v>
          </cell>
          <cell r="E61" t="str">
            <v>Yes</v>
          </cell>
        </row>
        <row r="62">
          <cell r="B62" t="str">
            <v>0</v>
          </cell>
          <cell r="C62" t="str">
            <v>MMF_</v>
          </cell>
          <cell r="D62" t="str">
            <v>MMF_28</v>
          </cell>
          <cell r="E62" t="str">
            <v>Yes</v>
          </cell>
        </row>
        <row r="63">
          <cell r="B63" t="str">
            <v>0</v>
          </cell>
          <cell r="C63" t="str">
            <v>MMF_</v>
          </cell>
          <cell r="D63" t="str">
            <v>MMF_29</v>
          </cell>
          <cell r="E63" t="str">
            <v>Yes</v>
          </cell>
        </row>
        <row r="64">
          <cell r="B64" t="str">
            <v>0</v>
          </cell>
          <cell r="C64" t="str">
            <v>MMF_</v>
          </cell>
          <cell r="D64" t="str">
            <v>MMF_30</v>
          </cell>
          <cell r="E64" t="str">
            <v>Yes</v>
          </cell>
        </row>
        <row r="65">
          <cell r="B65" t="str">
            <v>0</v>
          </cell>
          <cell r="C65" t="str">
            <v>MMF_</v>
          </cell>
          <cell r="D65" t="str">
            <v>MMF_31</v>
          </cell>
          <cell r="E65" t="str">
            <v>Yes</v>
          </cell>
        </row>
        <row r="66">
          <cell r="B66" t="str">
            <v>0</v>
          </cell>
          <cell r="C66" t="str">
            <v>MMF_</v>
          </cell>
          <cell r="D66" t="str">
            <v>MMF_32</v>
          </cell>
          <cell r="E66" t="str">
            <v>Yes</v>
          </cell>
        </row>
        <row r="67">
          <cell r="B67" t="str">
            <v>0</v>
          </cell>
          <cell r="C67" t="str">
            <v>MMF_</v>
          </cell>
          <cell r="D67" t="str">
            <v>MMF_33</v>
          </cell>
          <cell r="E67" t="str">
            <v>Yes</v>
          </cell>
        </row>
        <row r="68">
          <cell r="B68" t="str">
            <v>0</v>
          </cell>
          <cell r="C68" t="str">
            <v>MMF_</v>
          </cell>
          <cell r="D68" t="str">
            <v>MMF_34</v>
          </cell>
          <cell r="E68" t="str">
            <v>Yes</v>
          </cell>
        </row>
        <row r="69">
          <cell r="B69" t="str">
            <v>0</v>
          </cell>
          <cell r="C69" t="str">
            <v>MMF_</v>
          </cell>
          <cell r="D69" t="str">
            <v>MMF_35</v>
          </cell>
          <cell r="E69" t="str">
            <v>Yes</v>
          </cell>
        </row>
        <row r="70">
          <cell r="B70" t="str">
            <v>0</v>
          </cell>
          <cell r="C70" t="str">
            <v>MMF_</v>
          </cell>
          <cell r="D70" t="str">
            <v>MMF_36</v>
          </cell>
          <cell r="E70" t="str">
            <v>Yes</v>
          </cell>
        </row>
        <row r="71">
          <cell r="B71" t="str">
            <v>0</v>
          </cell>
          <cell r="C71" t="str">
            <v>MMF_</v>
          </cell>
          <cell r="D71" t="str">
            <v>MMF_37</v>
          </cell>
          <cell r="E71" t="str">
            <v>Yes</v>
          </cell>
        </row>
        <row r="72">
          <cell r="B72" t="str">
            <v>0</v>
          </cell>
          <cell r="C72" t="str">
            <v>MMF_</v>
          </cell>
          <cell r="D72" t="str">
            <v>MMF_38</v>
          </cell>
          <cell r="E72" t="str">
            <v>Yes</v>
          </cell>
        </row>
        <row r="73">
          <cell r="B73" t="str">
            <v>0</v>
          </cell>
          <cell r="C73" t="str">
            <v>MMF_</v>
          </cell>
          <cell r="D73" t="str">
            <v>MMF_39</v>
          </cell>
          <cell r="E73" t="str">
            <v>Yes</v>
          </cell>
        </row>
        <row r="74">
          <cell r="B74" t="str">
            <v>0</v>
          </cell>
          <cell r="C74" t="str">
            <v>MMF_</v>
          </cell>
          <cell r="D74" t="str">
            <v>MMF_40</v>
          </cell>
          <cell r="E74" t="str">
            <v>Yes</v>
          </cell>
        </row>
        <row r="75">
          <cell r="B75" t="str">
            <v>0</v>
          </cell>
          <cell r="C75" t="str">
            <v>MMF_</v>
          </cell>
          <cell r="D75" t="str">
            <v>MMF_41</v>
          </cell>
          <cell r="E75" t="str">
            <v>Yes</v>
          </cell>
        </row>
        <row r="76">
          <cell r="B76" t="str">
            <v>0</v>
          </cell>
          <cell r="C76" t="str">
            <v>MMF_</v>
          </cell>
          <cell r="D76" t="str">
            <v>MMF_42</v>
          </cell>
          <cell r="E76" t="str">
            <v>Yes</v>
          </cell>
        </row>
        <row r="77">
          <cell r="B77" t="str">
            <v>0</v>
          </cell>
          <cell r="C77" t="str">
            <v>MMF_</v>
          </cell>
          <cell r="D77" t="str">
            <v>MMF_43</v>
          </cell>
          <cell r="E77" t="str">
            <v>Yes</v>
          </cell>
        </row>
        <row r="78">
          <cell r="B78" t="str">
            <v>0</v>
          </cell>
          <cell r="C78" t="str">
            <v>MMF_</v>
          </cell>
          <cell r="D78" t="str">
            <v>MMF_44</v>
          </cell>
          <cell r="E78" t="str">
            <v>Yes</v>
          </cell>
        </row>
        <row r="79">
          <cell r="B79" t="str">
            <v>0</v>
          </cell>
          <cell r="C79" t="str">
            <v>MMF_</v>
          </cell>
          <cell r="D79" t="str">
            <v>MMF_45</v>
          </cell>
          <cell r="E79" t="str">
            <v>Yes</v>
          </cell>
        </row>
        <row r="80">
          <cell r="B80" t="str">
            <v>0</v>
          </cell>
          <cell r="C80" t="str">
            <v>MMF_</v>
          </cell>
          <cell r="D80" t="str">
            <v>MMF_46</v>
          </cell>
          <cell r="E80" t="str">
            <v>Yes</v>
          </cell>
        </row>
        <row r="81">
          <cell r="B81" t="str">
            <v>0</v>
          </cell>
          <cell r="C81" t="str">
            <v>MMF_</v>
          </cell>
          <cell r="D81" t="str">
            <v>MMF_47</v>
          </cell>
          <cell r="E81" t="str">
            <v>Yes</v>
          </cell>
        </row>
        <row r="82">
          <cell r="B82" t="str">
            <v>0</v>
          </cell>
          <cell r="C82" t="str">
            <v>MMF_</v>
          </cell>
          <cell r="D82" t="str">
            <v>MMF_48</v>
          </cell>
          <cell r="E82" t="str">
            <v>Yes</v>
          </cell>
        </row>
        <row r="83">
          <cell r="B83" t="str">
            <v>0</v>
          </cell>
          <cell r="C83" t="str">
            <v>MMF_</v>
          </cell>
          <cell r="D83" t="str">
            <v>MMF_49</v>
          </cell>
          <cell r="E83" t="str">
            <v>Yes</v>
          </cell>
        </row>
        <row r="84">
          <cell r="B84" t="str">
            <v>0</v>
          </cell>
          <cell r="C84" t="str">
            <v>MMF_</v>
          </cell>
          <cell r="D84" t="str">
            <v>MMF_50</v>
          </cell>
          <cell r="E84" t="str">
            <v>Yes</v>
          </cell>
        </row>
        <row r="85">
          <cell r="B85" t="str">
            <v>0</v>
          </cell>
          <cell r="C85" t="str">
            <v>MMF_</v>
          </cell>
          <cell r="D85" t="str">
            <v>MMF_51</v>
          </cell>
          <cell r="E85" t="str">
            <v>Yes</v>
          </cell>
        </row>
        <row r="86">
          <cell r="B86" t="str">
            <v>0</v>
          </cell>
          <cell r="C86" t="str">
            <v>MMF_</v>
          </cell>
          <cell r="D86" t="str">
            <v>MMF_52</v>
          </cell>
          <cell r="E86" t="str">
            <v>Yes</v>
          </cell>
        </row>
        <row r="87">
          <cell r="B87" t="str">
            <v>0</v>
          </cell>
          <cell r="C87" t="str">
            <v>MMF_</v>
          </cell>
          <cell r="D87" t="str">
            <v>MMF_53</v>
          </cell>
          <cell r="E87" t="str">
            <v>Yes</v>
          </cell>
        </row>
        <row r="88">
          <cell r="B88" t="str">
            <v>0</v>
          </cell>
          <cell r="C88" t="str">
            <v>MMF_</v>
          </cell>
          <cell r="D88" t="str">
            <v>MMF_54</v>
          </cell>
          <cell r="E88" t="str">
            <v>Yes</v>
          </cell>
        </row>
        <row r="89">
          <cell r="B89" t="str">
            <v>0</v>
          </cell>
          <cell r="C89" t="str">
            <v>MMF_</v>
          </cell>
          <cell r="D89" t="str">
            <v>MMF_55</v>
          </cell>
          <cell r="E89" t="str">
            <v>Yes</v>
          </cell>
        </row>
        <row r="90">
          <cell r="B90" t="str">
            <v>0</v>
          </cell>
          <cell r="C90" t="str">
            <v>MMF_</v>
          </cell>
          <cell r="D90" t="str">
            <v>MMF_56</v>
          </cell>
          <cell r="E90" t="str">
            <v>Yes</v>
          </cell>
        </row>
        <row r="91">
          <cell r="B91" t="str">
            <v>0</v>
          </cell>
          <cell r="C91" t="str">
            <v>MMF_</v>
          </cell>
          <cell r="D91" t="str">
            <v>MMF_57</v>
          </cell>
          <cell r="E91" t="str">
            <v>Yes</v>
          </cell>
        </row>
        <row r="92">
          <cell r="B92" t="str">
            <v>0</v>
          </cell>
          <cell r="C92" t="str">
            <v>MMF_</v>
          </cell>
          <cell r="D92" t="str">
            <v>MMF_58</v>
          </cell>
          <cell r="E92" t="str">
            <v>Yes</v>
          </cell>
        </row>
        <row r="93">
          <cell r="B93" t="str">
            <v>0</v>
          </cell>
          <cell r="C93" t="str">
            <v>MMF_</v>
          </cell>
          <cell r="D93" t="str">
            <v>MMF_59</v>
          </cell>
          <cell r="E93" t="str">
            <v>Yes</v>
          </cell>
        </row>
        <row r="94">
          <cell r="B94" t="str">
            <v>0</v>
          </cell>
          <cell r="C94" t="str">
            <v>MMF_</v>
          </cell>
          <cell r="D94" t="str">
            <v>MMF_60</v>
          </cell>
          <cell r="E94" t="str">
            <v>Yes</v>
          </cell>
        </row>
        <row r="95">
          <cell r="B95" t="str">
            <v>0</v>
          </cell>
          <cell r="C95" t="str">
            <v>MMF_</v>
          </cell>
          <cell r="D95" t="str">
            <v>MMF_61</v>
          </cell>
          <cell r="E95" t="str">
            <v>Yes</v>
          </cell>
        </row>
        <row r="96">
          <cell r="B96" t="str">
            <v>0</v>
          </cell>
          <cell r="C96" t="str">
            <v>MMF_</v>
          </cell>
          <cell r="D96" t="str">
            <v>MMF_62</v>
          </cell>
          <cell r="E96" t="str">
            <v>Yes</v>
          </cell>
        </row>
        <row r="97">
          <cell r="B97" t="str">
            <v>0</v>
          </cell>
          <cell r="C97" t="str">
            <v>MMF_</v>
          </cell>
          <cell r="D97" t="str">
            <v>MMF_63</v>
          </cell>
          <cell r="E97" t="str">
            <v>Yes</v>
          </cell>
        </row>
        <row r="98">
          <cell r="B98" t="str">
            <v>0</v>
          </cell>
          <cell r="C98" t="str">
            <v>MMF_</v>
          </cell>
          <cell r="D98" t="str">
            <v>MMF_64</v>
          </cell>
          <cell r="E98" t="str">
            <v>Yes</v>
          </cell>
        </row>
        <row r="99">
          <cell r="B99" t="str">
            <v>0</v>
          </cell>
          <cell r="C99" t="str">
            <v>MMF_</v>
          </cell>
          <cell r="D99" t="str">
            <v>MMF_65</v>
          </cell>
          <cell r="E99" t="str">
            <v>Yes</v>
          </cell>
        </row>
        <row r="100">
          <cell r="B100" t="str">
            <v>0</v>
          </cell>
          <cell r="C100" t="str">
            <v>MMF_</v>
          </cell>
          <cell r="D100" t="str">
            <v>MMF_66</v>
          </cell>
          <cell r="E100" t="str">
            <v>Yes</v>
          </cell>
        </row>
        <row r="101">
          <cell r="B101" t="str">
            <v>0</v>
          </cell>
          <cell r="C101" t="str">
            <v>MMF_</v>
          </cell>
          <cell r="D101" t="str">
            <v>MMF_67</v>
          </cell>
          <cell r="E101" t="str">
            <v>Yes</v>
          </cell>
        </row>
        <row r="102">
          <cell r="B102" t="str">
            <v>0</v>
          </cell>
          <cell r="C102" t="str">
            <v>MMF_</v>
          </cell>
          <cell r="D102" t="str">
            <v>MMF_68</v>
          </cell>
          <cell r="E102" t="str">
            <v>Yes</v>
          </cell>
        </row>
        <row r="103">
          <cell r="B103" t="str">
            <v>0</v>
          </cell>
          <cell r="C103" t="str">
            <v>MMF_</v>
          </cell>
          <cell r="D103" t="str">
            <v>MMF_69</v>
          </cell>
          <cell r="E103" t="str">
            <v>Yes</v>
          </cell>
        </row>
        <row r="104">
          <cell r="B104" t="str">
            <v>0</v>
          </cell>
          <cell r="C104" t="str">
            <v>MMF_</v>
          </cell>
          <cell r="D104" t="str">
            <v>MMF_70</v>
          </cell>
          <cell r="E104" t="str">
            <v>Yes</v>
          </cell>
        </row>
        <row r="105">
          <cell r="B105" t="str">
            <v>0</v>
          </cell>
          <cell r="C105" t="str">
            <v>MMF_</v>
          </cell>
          <cell r="D105" t="str">
            <v>MMF_71</v>
          </cell>
          <cell r="E105" t="str">
            <v>Yes</v>
          </cell>
        </row>
        <row r="106">
          <cell r="B106" t="str">
            <v>0</v>
          </cell>
          <cell r="C106" t="str">
            <v>MMF_</v>
          </cell>
          <cell r="D106" t="str">
            <v>MMF_72</v>
          </cell>
          <cell r="E106" t="str">
            <v>Yes</v>
          </cell>
        </row>
        <row r="107">
          <cell r="B107" t="str">
            <v>0</v>
          </cell>
          <cell r="C107" t="str">
            <v>MMF_</v>
          </cell>
          <cell r="D107" t="str">
            <v>MMF_73</v>
          </cell>
          <cell r="E107" t="str">
            <v>Yes</v>
          </cell>
        </row>
        <row r="108">
          <cell r="B108" t="str">
            <v>0</v>
          </cell>
          <cell r="C108" t="str">
            <v>MMF_</v>
          </cell>
          <cell r="D108" t="str">
            <v>MMF_74</v>
          </cell>
          <cell r="E108" t="str">
            <v>Yes</v>
          </cell>
        </row>
        <row r="109">
          <cell r="B109" t="str">
            <v>0</v>
          </cell>
          <cell r="C109" t="str">
            <v>MMF_</v>
          </cell>
          <cell r="D109" t="str">
            <v>MMF_75</v>
          </cell>
          <cell r="E109" t="str">
            <v>Yes</v>
          </cell>
        </row>
        <row r="110">
          <cell r="B110" t="str">
            <v>0</v>
          </cell>
          <cell r="C110" t="str">
            <v>MMF_</v>
          </cell>
          <cell r="D110" t="str">
            <v>MMF_76</v>
          </cell>
          <cell r="E110" t="str">
            <v>Yes</v>
          </cell>
        </row>
        <row r="111">
          <cell r="B111" t="str">
            <v>0</v>
          </cell>
          <cell r="C111" t="str">
            <v>MMF_</v>
          </cell>
          <cell r="D111" t="str">
            <v>MMF_77</v>
          </cell>
          <cell r="E111" t="str">
            <v>Yes</v>
          </cell>
        </row>
        <row r="112">
          <cell r="B112" t="str">
            <v>0</v>
          </cell>
          <cell r="C112" t="str">
            <v>MMF_</v>
          </cell>
          <cell r="D112" t="str">
            <v>MMF_78</v>
          </cell>
          <cell r="E112" t="str">
            <v>Yes</v>
          </cell>
        </row>
        <row r="113">
          <cell r="B113" t="str">
            <v>0</v>
          </cell>
          <cell r="C113" t="str">
            <v>MMF_</v>
          </cell>
          <cell r="D113" t="str">
            <v>MMF_79</v>
          </cell>
          <cell r="E113" t="str">
            <v>Yes</v>
          </cell>
        </row>
        <row r="114">
          <cell r="B114" t="str">
            <v>0</v>
          </cell>
          <cell r="C114" t="str">
            <v>MMF_</v>
          </cell>
          <cell r="D114" t="str">
            <v>MMF_80</v>
          </cell>
          <cell r="E114" t="str">
            <v>Yes</v>
          </cell>
        </row>
        <row r="115">
          <cell r="B115" t="str">
            <v>0</v>
          </cell>
          <cell r="C115" t="str">
            <v>MMF_</v>
          </cell>
          <cell r="D115" t="str">
            <v>MMF_81</v>
          </cell>
          <cell r="E115" t="str">
            <v>Yes</v>
          </cell>
        </row>
        <row r="116">
          <cell r="B116" t="str">
            <v>0</v>
          </cell>
          <cell r="C116" t="str">
            <v>MMF_</v>
          </cell>
          <cell r="D116" t="str">
            <v>MMF_82</v>
          </cell>
          <cell r="E116" t="str">
            <v>Yes</v>
          </cell>
        </row>
        <row r="117">
          <cell r="B117" t="str">
            <v>0</v>
          </cell>
          <cell r="C117" t="str">
            <v>MMF_</v>
          </cell>
          <cell r="D117" t="str">
            <v>MMF_83</v>
          </cell>
          <cell r="E117" t="str">
            <v>Yes</v>
          </cell>
        </row>
        <row r="118">
          <cell r="B118" t="str">
            <v>0</v>
          </cell>
          <cell r="C118" t="str">
            <v>MMF_</v>
          </cell>
          <cell r="D118" t="str">
            <v>MMF_84</v>
          </cell>
          <cell r="E118" t="str">
            <v>Yes</v>
          </cell>
        </row>
        <row r="119">
          <cell r="B119" t="str">
            <v>0</v>
          </cell>
          <cell r="C119" t="str">
            <v>MMF_</v>
          </cell>
          <cell r="D119" t="str">
            <v>MMF_85</v>
          </cell>
          <cell r="E119" t="str">
            <v>Yes</v>
          </cell>
        </row>
        <row r="120">
          <cell r="B120" t="str">
            <v>0</v>
          </cell>
          <cell r="C120" t="str">
            <v>MMF_</v>
          </cell>
          <cell r="D120" t="str">
            <v>MMF_86</v>
          </cell>
          <cell r="E120" t="str">
            <v>Yes</v>
          </cell>
        </row>
        <row r="121">
          <cell r="B121" t="str">
            <v>0</v>
          </cell>
          <cell r="C121" t="str">
            <v>MMF_</v>
          </cell>
          <cell r="D121" t="str">
            <v>MMF_87</v>
          </cell>
          <cell r="E121" t="str">
            <v>Yes</v>
          </cell>
        </row>
        <row r="122">
          <cell r="B122" t="str">
            <v>0</v>
          </cell>
          <cell r="C122" t="str">
            <v>MMF_</v>
          </cell>
          <cell r="D122" t="str">
            <v>MMF_88</v>
          </cell>
          <cell r="E122" t="str">
            <v>Yes</v>
          </cell>
        </row>
        <row r="123">
          <cell r="B123" t="str">
            <v>0</v>
          </cell>
          <cell r="C123" t="str">
            <v>MMF_</v>
          </cell>
          <cell r="D123" t="str">
            <v>MMF_89</v>
          </cell>
          <cell r="E123" t="str">
            <v>Yes</v>
          </cell>
        </row>
        <row r="124">
          <cell r="B124" t="str">
            <v>0</v>
          </cell>
          <cell r="C124" t="str">
            <v>MMF_</v>
          </cell>
          <cell r="D124" t="str">
            <v>MMF_90</v>
          </cell>
          <cell r="E124" t="str">
            <v>Yes</v>
          </cell>
        </row>
        <row r="125">
          <cell r="B125" t="str">
            <v>0</v>
          </cell>
          <cell r="C125" t="str">
            <v>MMF_</v>
          </cell>
          <cell r="D125" t="str">
            <v>MMF_91</v>
          </cell>
          <cell r="E125" t="str">
            <v>Yes</v>
          </cell>
        </row>
        <row r="126">
          <cell r="B126" t="str">
            <v>0</v>
          </cell>
          <cell r="C126" t="str">
            <v>MMF_</v>
          </cell>
          <cell r="D126" t="str">
            <v>MMF_92</v>
          </cell>
          <cell r="E126" t="str">
            <v>Yes</v>
          </cell>
        </row>
        <row r="127">
          <cell r="B127" t="str">
            <v>0</v>
          </cell>
          <cell r="C127" t="str">
            <v>MMF_</v>
          </cell>
          <cell r="D127" t="str">
            <v>MMF_93</v>
          </cell>
          <cell r="E127" t="str">
            <v>Yes</v>
          </cell>
        </row>
        <row r="128">
          <cell r="B128" t="str">
            <v>0</v>
          </cell>
          <cell r="C128" t="str">
            <v>MMF_</v>
          </cell>
          <cell r="D128" t="str">
            <v>MMF_94</v>
          </cell>
          <cell r="E128" t="str">
            <v>Yes</v>
          </cell>
        </row>
        <row r="129">
          <cell r="B129" t="str">
            <v>0</v>
          </cell>
          <cell r="C129" t="str">
            <v>MMF_</v>
          </cell>
          <cell r="D129" t="str">
            <v>MMF_95</v>
          </cell>
          <cell r="E129" t="str">
            <v>Yes</v>
          </cell>
        </row>
        <row r="130">
          <cell r="B130" t="str">
            <v>0</v>
          </cell>
          <cell r="C130" t="str">
            <v>MMF_</v>
          </cell>
          <cell r="D130" t="str">
            <v>MMF_96</v>
          </cell>
          <cell r="E130" t="str">
            <v>Yes</v>
          </cell>
        </row>
        <row r="131">
          <cell r="B131" t="str">
            <v>0</v>
          </cell>
          <cell r="C131" t="str">
            <v>MMF_</v>
          </cell>
          <cell r="D131" t="str">
            <v>MMF_97</v>
          </cell>
          <cell r="E131" t="str">
            <v>Yes</v>
          </cell>
        </row>
        <row r="132">
          <cell r="B132" t="str">
            <v>0</v>
          </cell>
          <cell r="C132" t="str">
            <v>MMF_</v>
          </cell>
          <cell r="D132" t="str">
            <v>MMF_98</v>
          </cell>
          <cell r="E132" t="str">
            <v>Yes</v>
          </cell>
        </row>
        <row r="133">
          <cell r="B133" t="str">
            <v>0</v>
          </cell>
          <cell r="C133" t="str">
            <v>MMF_</v>
          </cell>
          <cell r="D133" t="str">
            <v>MMF_99</v>
          </cell>
          <cell r="E133" t="str">
            <v>Yes</v>
          </cell>
        </row>
        <row r="134">
          <cell r="B134" t="str">
            <v>0</v>
          </cell>
          <cell r="C134" t="str">
            <v>MMF_</v>
          </cell>
          <cell r="D134" t="str">
            <v>MMF_100</v>
          </cell>
          <cell r="E134" t="str">
            <v>Yes</v>
          </cell>
        </row>
        <row r="135">
          <cell r="B135" t="str">
            <v>0</v>
          </cell>
          <cell r="C135" t="str">
            <v>MMF_</v>
          </cell>
          <cell r="D135" t="str">
            <v>MMF_101</v>
          </cell>
          <cell r="E135" t="str">
            <v>Yes</v>
          </cell>
        </row>
        <row r="136">
          <cell r="B136" t="str">
            <v>0</v>
          </cell>
          <cell r="C136" t="str">
            <v>MMF_</v>
          </cell>
          <cell r="D136" t="str">
            <v>MMF_102</v>
          </cell>
          <cell r="E136" t="str">
            <v>Yes</v>
          </cell>
        </row>
        <row r="137">
          <cell r="B137" t="str">
            <v>0</v>
          </cell>
          <cell r="C137" t="str">
            <v>MMF_</v>
          </cell>
          <cell r="D137" t="str">
            <v>MMF_103</v>
          </cell>
          <cell r="E137" t="str">
            <v>Yes</v>
          </cell>
        </row>
        <row r="138">
          <cell r="B138" t="str">
            <v>0</v>
          </cell>
          <cell r="C138" t="str">
            <v>MMF_</v>
          </cell>
          <cell r="D138" t="str">
            <v>MMF_104</v>
          </cell>
          <cell r="E138" t="str">
            <v>Yes</v>
          </cell>
        </row>
        <row r="139">
          <cell r="B139" t="str">
            <v>0</v>
          </cell>
          <cell r="C139" t="str">
            <v>MMF_</v>
          </cell>
          <cell r="D139" t="str">
            <v>MMF_105</v>
          </cell>
          <cell r="E139" t="str">
            <v>Yes</v>
          </cell>
        </row>
        <row r="140">
          <cell r="B140" t="str">
            <v>0</v>
          </cell>
          <cell r="C140" t="str">
            <v>MMF_</v>
          </cell>
          <cell r="D140" t="str">
            <v>MMF_106</v>
          </cell>
          <cell r="E140" t="str">
            <v>Yes</v>
          </cell>
        </row>
        <row r="141">
          <cell r="B141" t="str">
            <v>0</v>
          </cell>
          <cell r="C141" t="str">
            <v>MMF_</v>
          </cell>
          <cell r="D141" t="str">
            <v>MMF_107</v>
          </cell>
          <cell r="E141" t="str">
            <v>Yes</v>
          </cell>
        </row>
        <row r="142">
          <cell r="B142" t="str">
            <v>0</v>
          </cell>
          <cell r="C142" t="str">
            <v>MMF_</v>
          </cell>
          <cell r="D142" t="str">
            <v>MMF_108</v>
          </cell>
          <cell r="E142" t="str">
            <v>Yes</v>
          </cell>
        </row>
        <row r="143">
          <cell r="B143" t="str">
            <v>0</v>
          </cell>
          <cell r="C143" t="str">
            <v>MMF_</v>
          </cell>
          <cell r="D143" t="str">
            <v>MMF_109</v>
          </cell>
          <cell r="E143" t="str">
            <v>Yes</v>
          </cell>
        </row>
        <row r="144">
          <cell r="B144" t="str">
            <v>0</v>
          </cell>
          <cell r="C144" t="str">
            <v>MMF_</v>
          </cell>
          <cell r="D144" t="str">
            <v>MMF_110</v>
          </cell>
          <cell r="E144" t="str">
            <v>Yes</v>
          </cell>
        </row>
        <row r="145">
          <cell r="B145" t="str">
            <v>0</v>
          </cell>
          <cell r="C145" t="str">
            <v>MMF_</v>
          </cell>
          <cell r="D145" t="str">
            <v>MMF_111</v>
          </cell>
          <cell r="E145" t="str">
            <v>Yes</v>
          </cell>
        </row>
        <row r="146">
          <cell r="B146" t="str">
            <v>0</v>
          </cell>
          <cell r="C146" t="str">
            <v>MMF_</v>
          </cell>
          <cell r="D146" t="str">
            <v>MMF_112</v>
          </cell>
          <cell r="E146" t="str">
            <v>Yes</v>
          </cell>
        </row>
        <row r="147">
          <cell r="B147" t="str">
            <v>0</v>
          </cell>
          <cell r="C147" t="str">
            <v>MMF_</v>
          </cell>
          <cell r="D147" t="str">
            <v>MMF_113</v>
          </cell>
          <cell r="E147" t="str">
            <v>Yes</v>
          </cell>
        </row>
        <row r="148">
          <cell r="B148" t="str">
            <v>0</v>
          </cell>
          <cell r="C148" t="str">
            <v>MMF_</v>
          </cell>
          <cell r="D148" t="str">
            <v>MMF_114</v>
          </cell>
          <cell r="E148" t="str">
            <v>Yes</v>
          </cell>
        </row>
        <row r="149">
          <cell r="B149" t="str">
            <v>0</v>
          </cell>
          <cell r="C149" t="str">
            <v>MMF_</v>
          </cell>
          <cell r="D149" t="str">
            <v>MMF_115</v>
          </cell>
          <cell r="E149" t="str">
            <v>Yes</v>
          </cell>
        </row>
        <row r="150">
          <cell r="B150" t="str">
            <v>0</v>
          </cell>
          <cell r="C150" t="str">
            <v>MMF_</v>
          </cell>
          <cell r="D150" t="str">
            <v>MMF_116</v>
          </cell>
          <cell r="E150" t="str">
            <v>Yes</v>
          </cell>
        </row>
        <row r="151">
          <cell r="B151" t="str">
            <v>0</v>
          </cell>
          <cell r="C151" t="str">
            <v>MMF_</v>
          </cell>
          <cell r="D151" t="str">
            <v>MMF_117</v>
          </cell>
          <cell r="E151" t="str">
            <v>Yes</v>
          </cell>
        </row>
        <row r="152">
          <cell r="B152" t="str">
            <v>0</v>
          </cell>
          <cell r="C152" t="str">
            <v>MMF_</v>
          </cell>
          <cell r="D152" t="str">
            <v>MMF_118</v>
          </cell>
          <cell r="E152" t="str">
            <v>Yes</v>
          </cell>
        </row>
        <row r="153">
          <cell r="B153" t="str">
            <v>0</v>
          </cell>
          <cell r="C153" t="str">
            <v>MMF_</v>
          </cell>
          <cell r="D153" t="str">
            <v>MMF_119</v>
          </cell>
          <cell r="E153" t="str">
            <v>Yes</v>
          </cell>
        </row>
        <row r="154">
          <cell r="B154" t="str">
            <v>0</v>
          </cell>
          <cell r="C154" t="str">
            <v>MMF_</v>
          </cell>
          <cell r="D154" t="str">
            <v>MMF_120</v>
          </cell>
          <cell r="E154" t="str">
            <v>Yes</v>
          </cell>
        </row>
        <row r="155">
          <cell r="B155" t="str">
            <v>0</v>
          </cell>
          <cell r="C155" t="str">
            <v>MMF_</v>
          </cell>
          <cell r="D155" t="str">
            <v>MMF_121</v>
          </cell>
          <cell r="E155" t="str">
            <v>Yes</v>
          </cell>
        </row>
        <row r="156">
          <cell r="B156" t="str">
            <v>0</v>
          </cell>
          <cell r="C156" t="str">
            <v>MMF_</v>
          </cell>
          <cell r="D156" t="str">
            <v>MMF_122</v>
          </cell>
          <cell r="E156" t="str">
            <v>Yes</v>
          </cell>
        </row>
        <row r="157">
          <cell r="B157" t="str">
            <v>0</v>
          </cell>
          <cell r="C157" t="str">
            <v>MMF_</v>
          </cell>
          <cell r="D157" t="str">
            <v>MMF_123</v>
          </cell>
          <cell r="E157" t="str">
            <v>Yes</v>
          </cell>
        </row>
        <row r="158">
          <cell r="B158" t="str">
            <v>0</v>
          </cell>
          <cell r="C158" t="str">
            <v>MMF_</v>
          </cell>
          <cell r="D158" t="str">
            <v>MMF_124</v>
          </cell>
          <cell r="E158" t="str">
            <v>Yes</v>
          </cell>
        </row>
        <row r="159">
          <cell r="B159" t="str">
            <v>0</v>
          </cell>
          <cell r="C159" t="str">
            <v>MMF_</v>
          </cell>
          <cell r="D159" t="str">
            <v>MMF_125</v>
          </cell>
          <cell r="E159" t="str">
            <v>Yes</v>
          </cell>
        </row>
        <row r="160">
          <cell r="B160" t="str">
            <v>0</v>
          </cell>
          <cell r="C160" t="str">
            <v>MMF_</v>
          </cell>
          <cell r="D160" t="str">
            <v>MMF_126</v>
          </cell>
          <cell r="E160" t="str">
            <v>Yes</v>
          </cell>
        </row>
        <row r="161">
          <cell r="B161" t="str">
            <v>0</v>
          </cell>
          <cell r="C161" t="str">
            <v>MMF_</v>
          </cell>
          <cell r="D161" t="str">
            <v>MMF_127</v>
          </cell>
          <cell r="E161" t="str">
            <v>Yes</v>
          </cell>
        </row>
        <row r="162">
          <cell r="B162" t="str">
            <v>0</v>
          </cell>
          <cell r="C162" t="str">
            <v>MMF_</v>
          </cell>
          <cell r="D162" t="str">
            <v>MMF_128</v>
          </cell>
          <cell r="E162" t="str">
            <v>Yes</v>
          </cell>
        </row>
        <row r="163">
          <cell r="B163" t="str">
            <v>0</v>
          </cell>
          <cell r="C163" t="str">
            <v>MMF_</v>
          </cell>
          <cell r="D163" t="str">
            <v>MMF_129</v>
          </cell>
          <cell r="E163" t="str">
            <v>Yes</v>
          </cell>
        </row>
        <row r="164">
          <cell r="B164" t="str">
            <v>0</v>
          </cell>
          <cell r="C164" t="str">
            <v>MMF_</v>
          </cell>
          <cell r="D164" t="str">
            <v>MMF_130</v>
          </cell>
          <cell r="E164" t="str">
            <v>Yes</v>
          </cell>
        </row>
        <row r="165">
          <cell r="B165" t="str">
            <v>0</v>
          </cell>
          <cell r="C165" t="str">
            <v>MMF_</v>
          </cell>
          <cell r="D165" t="str">
            <v>MMF_131</v>
          </cell>
          <cell r="E165" t="str">
            <v>Yes</v>
          </cell>
        </row>
        <row r="166">
          <cell r="B166" t="str">
            <v>0</v>
          </cell>
          <cell r="C166" t="str">
            <v>MMF_</v>
          </cell>
          <cell r="D166" t="str">
            <v>MMF_132</v>
          </cell>
          <cell r="E166" t="str">
            <v>Yes</v>
          </cell>
        </row>
        <row r="167">
          <cell r="B167" t="str">
            <v>0</v>
          </cell>
          <cell r="C167" t="str">
            <v>MMF_</v>
          </cell>
          <cell r="D167" t="str">
            <v>MMF_133</v>
          </cell>
          <cell r="E167" t="str">
            <v>Yes</v>
          </cell>
        </row>
        <row r="168">
          <cell r="B168" t="str">
            <v>0</v>
          </cell>
          <cell r="C168" t="str">
            <v>MMF_</v>
          </cell>
          <cell r="D168" t="str">
            <v>MMF_134</v>
          </cell>
          <cell r="E168" t="str">
            <v>Yes</v>
          </cell>
        </row>
        <row r="169">
          <cell r="B169" t="str">
            <v>0</v>
          </cell>
          <cell r="C169" t="str">
            <v>MMF_</v>
          </cell>
          <cell r="D169" t="str">
            <v>MMF_135</v>
          </cell>
          <cell r="E169" t="str">
            <v>Yes</v>
          </cell>
        </row>
        <row r="170">
          <cell r="B170" t="str">
            <v>0</v>
          </cell>
          <cell r="C170" t="str">
            <v>MMF_</v>
          </cell>
          <cell r="D170" t="str">
            <v>MMF_136</v>
          </cell>
          <cell r="E170" t="str">
            <v>Yes</v>
          </cell>
        </row>
        <row r="171">
          <cell r="B171" t="str">
            <v>0</v>
          </cell>
          <cell r="C171" t="str">
            <v>MMF_</v>
          </cell>
          <cell r="D171" t="str">
            <v>MMF_137</v>
          </cell>
          <cell r="E171" t="str">
            <v>Yes</v>
          </cell>
        </row>
        <row r="172">
          <cell r="B172" t="str">
            <v>0</v>
          </cell>
          <cell r="C172" t="str">
            <v>MMF_</v>
          </cell>
          <cell r="D172" t="str">
            <v>MMF_138</v>
          </cell>
          <cell r="E172" t="str">
            <v>Yes</v>
          </cell>
        </row>
        <row r="173">
          <cell r="B173" t="str">
            <v>0</v>
          </cell>
          <cell r="C173" t="str">
            <v>MMF_</v>
          </cell>
          <cell r="D173" t="str">
            <v>MMF_139</v>
          </cell>
          <cell r="E173" t="str">
            <v>Yes</v>
          </cell>
        </row>
        <row r="174">
          <cell r="B174" t="str">
            <v>0</v>
          </cell>
          <cell r="C174" t="str">
            <v>MMF_</v>
          </cell>
          <cell r="D174" t="str">
            <v>MMF_140</v>
          </cell>
          <cell r="E174" t="str">
            <v>Yes</v>
          </cell>
        </row>
        <row r="175">
          <cell r="B175" t="str">
            <v>0</v>
          </cell>
          <cell r="C175" t="str">
            <v>MMF_</v>
          </cell>
          <cell r="D175" t="str">
            <v>MMF_141</v>
          </cell>
          <cell r="E175" t="str">
            <v>Yes</v>
          </cell>
        </row>
        <row r="176">
          <cell r="B176" t="str">
            <v>0</v>
          </cell>
          <cell r="C176" t="str">
            <v>MMF_</v>
          </cell>
          <cell r="D176" t="str">
            <v>MMF_142</v>
          </cell>
          <cell r="E176" t="str">
            <v>Yes</v>
          </cell>
        </row>
      </sheetData>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Version"/>
      <sheetName val="A. Biz Req Catalog"/>
      <sheetName val="User Guide"/>
      <sheetName val="Metrics"/>
      <sheetName val="A. Claims Story Map"/>
      <sheetName val="B0. HLRQ - General"/>
      <sheetName val="B1. HLRQ - FNOL"/>
      <sheetName val="B2. HLRQ - Registration"/>
      <sheetName val="B3. HLRQ - Assessment"/>
      <sheetName val="B4. HLRQ - Settlement"/>
      <sheetName val="B5. HLRQ - Decline"/>
      <sheetName val="B6. HLRQ - Fraud"/>
      <sheetName val="B7. HLRQ - Recovery"/>
      <sheetName val="D. Entities Comments"/>
      <sheetName val="Sheet1"/>
    </sheetNames>
    <sheetDataSet>
      <sheetData sheetId="0"/>
      <sheetData sheetId="1"/>
      <sheetData sheetId="2"/>
      <sheetData sheetId="3"/>
      <sheetData sheetId="4"/>
      <sheetData sheetId="5"/>
      <sheetData sheetId="6">
        <row r="61">
          <cell r="C61" t="str">
            <v>Fraud Detection</v>
          </cell>
        </row>
      </sheetData>
      <sheetData sheetId="7"/>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C15"/>
  <sheetViews>
    <sheetView workbookViewId="0">
      <selection activeCell="B1" sqref="B1:C1"/>
    </sheetView>
  </sheetViews>
  <sheetFormatPr defaultRowHeight="14.4"/>
  <cols>
    <col min="2" max="2" width="11.6640625" bestFit="1" customWidth="1"/>
    <col min="3" max="3" width="33.33203125" bestFit="1" customWidth="1"/>
  </cols>
  <sheetData>
    <row r="1" spans="2:3">
      <c r="B1" t="s">
        <v>766</v>
      </c>
      <c r="C1" t="s">
        <v>767</v>
      </c>
    </row>
    <row r="2" spans="2:3">
      <c r="B2" t="s">
        <v>768</v>
      </c>
      <c r="C2" t="s">
        <v>825</v>
      </c>
    </row>
    <row r="3" spans="2:3">
      <c r="B3" t="s">
        <v>769</v>
      </c>
      <c r="C3" t="s">
        <v>770</v>
      </c>
    </row>
    <row r="4" spans="2:3">
      <c r="B4" t="s">
        <v>771</v>
      </c>
      <c r="C4" t="s">
        <v>826</v>
      </c>
    </row>
    <row r="5" spans="2:3">
      <c r="B5" t="s">
        <v>772</v>
      </c>
      <c r="C5" t="s">
        <v>773</v>
      </c>
    </row>
    <row r="6" spans="2:3">
      <c r="B6" t="s">
        <v>774</v>
      </c>
      <c r="C6" t="s">
        <v>775</v>
      </c>
    </row>
    <row r="7" spans="2:3">
      <c r="B7" t="s">
        <v>214</v>
      </c>
      <c r="C7" t="s">
        <v>776</v>
      </c>
    </row>
    <row r="8" spans="2:3">
      <c r="B8" t="s">
        <v>777</v>
      </c>
      <c r="C8" t="s">
        <v>778</v>
      </c>
    </row>
    <row r="9" spans="2:3">
      <c r="B9" t="s">
        <v>260</v>
      </c>
      <c r="C9" t="s">
        <v>95</v>
      </c>
    </row>
    <row r="10" spans="2:3">
      <c r="B10" t="s">
        <v>779</v>
      </c>
      <c r="C10" t="s">
        <v>780</v>
      </c>
    </row>
    <row r="11" spans="2:3">
      <c r="B11" t="s">
        <v>781</v>
      </c>
      <c r="C11" t="s">
        <v>782</v>
      </c>
    </row>
    <row r="12" spans="2:3">
      <c r="B12" t="s">
        <v>783</v>
      </c>
      <c r="C12" t="s">
        <v>784</v>
      </c>
    </row>
    <row r="13" spans="2:3">
      <c r="B13" t="s">
        <v>785</v>
      </c>
      <c r="C13" t="s">
        <v>788</v>
      </c>
    </row>
    <row r="14" spans="2:3">
      <c r="B14" t="s">
        <v>786</v>
      </c>
      <c r="C14" t="s">
        <v>787</v>
      </c>
    </row>
    <row r="15" spans="2:3" ht="72">
      <c r="B15" s="135" t="s">
        <v>801</v>
      </c>
      <c r="C15" s="1" t="s">
        <v>821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92D050"/>
  </sheetPr>
  <dimension ref="A1:BZ63"/>
  <sheetViews>
    <sheetView showGridLines="0" topLeftCell="A3" zoomScale="80" zoomScaleNormal="80" workbookViewId="0">
      <pane ySplit="8" topLeftCell="A11" activePane="bottomLeft" state="frozen"/>
      <selection activeCell="J6" sqref="J6"/>
      <selection pane="bottomLeft" activeCell="C8" sqref="C8:U8"/>
    </sheetView>
  </sheetViews>
  <sheetFormatPr defaultColWidth="9.109375" defaultRowHeight="24.75" customHeight="1"/>
  <cols>
    <col min="1" max="1" width="9.109375" style="13"/>
    <col min="2" max="2" width="2.88671875" style="13" customWidth="1"/>
    <col min="3" max="3" width="16.88671875" style="13" customWidth="1"/>
    <col min="4" max="4" width="1.5546875" style="13" customWidth="1"/>
    <col min="5" max="5" width="14.88671875" style="13" customWidth="1"/>
    <col min="6" max="6" width="20.6640625" style="13" hidden="1" customWidth="1"/>
    <col min="7" max="7" width="11" style="13" hidden="1" customWidth="1"/>
    <col min="8" max="8" width="1.6640625" style="13" customWidth="1"/>
    <col min="9" max="9" width="13.6640625" style="13" customWidth="1"/>
    <col min="10" max="11" width="20.6640625" style="13" hidden="1" customWidth="1"/>
    <col min="12" max="12" width="1.5546875" style="13" customWidth="1"/>
    <col min="13" max="13" width="12.6640625" style="13" customWidth="1"/>
    <col min="14" max="14" width="1.5546875" style="13" customWidth="1"/>
    <col min="15" max="15" width="12.6640625" style="13" customWidth="1"/>
    <col min="16" max="16" width="1.5546875" style="13" customWidth="1"/>
    <col min="17" max="17" width="12.6640625" style="13" customWidth="1"/>
    <col min="18" max="19" width="20.6640625" style="13" hidden="1" customWidth="1"/>
    <col min="20" max="20" width="2" style="13" customWidth="1"/>
    <col min="21" max="21" width="12.6640625" style="13" customWidth="1"/>
    <col min="22" max="22" width="6.44140625" style="28" customWidth="1"/>
    <col min="23" max="23" width="2" style="13" customWidth="1"/>
    <col min="24" max="25" width="12.6640625" style="13" customWidth="1"/>
    <col min="26" max="26" width="13.109375" style="13" customWidth="1"/>
    <col min="27" max="27" width="12.6640625" style="13" customWidth="1"/>
    <col min="28" max="28" width="13.44140625" style="13" customWidth="1"/>
    <col min="29" max="29" width="14" style="13" customWidth="1"/>
    <col min="30" max="31" width="12.6640625" style="13" customWidth="1"/>
    <col min="32" max="33" width="9.109375" style="13" hidden="1" customWidth="1"/>
    <col min="34" max="34" width="12.6640625" style="13" customWidth="1"/>
    <col min="35" max="35" width="5.88671875" style="13" customWidth="1"/>
    <col min="36" max="73" width="9.109375" style="13"/>
    <col min="74" max="74" width="20.109375" style="13" customWidth="1"/>
    <col min="75" max="16384" width="9.109375" style="13"/>
  </cols>
  <sheetData>
    <row r="1" spans="3:78" s="12" customFormat="1" ht="24.75" customHeight="1">
      <c r="E1" s="17" t="s">
        <v>33</v>
      </c>
      <c r="V1" s="28"/>
    </row>
    <row r="2" spans="3:78" ht="7.5" customHeight="1"/>
    <row r="3" spans="3:78" ht="12.75" customHeight="1" thickBot="1"/>
    <row r="4" spans="3:78" ht="26.25" customHeight="1" thickBot="1">
      <c r="C4" s="155" t="s">
        <v>665</v>
      </c>
      <c r="D4" s="156"/>
      <c r="E4" s="152" t="s">
        <v>669</v>
      </c>
      <c r="F4" s="153"/>
      <c r="G4" s="153"/>
      <c r="H4" s="153"/>
      <c r="I4" s="153"/>
      <c r="J4" s="153"/>
      <c r="K4" s="153"/>
      <c r="L4" s="153"/>
      <c r="M4" s="154"/>
      <c r="BS4" s="128" t="s">
        <v>671</v>
      </c>
      <c r="BT4" s="128"/>
      <c r="BU4" s="128"/>
      <c r="BV4" s="128" t="s">
        <v>673</v>
      </c>
      <c r="BW4" s="128"/>
      <c r="BX4" s="128"/>
      <c r="BY4" s="128" t="s">
        <v>597</v>
      </c>
      <c r="BZ4" s="128"/>
    </row>
    <row r="5" spans="3:78" ht="26.25" customHeight="1" thickBot="1">
      <c r="C5" s="155" t="s">
        <v>666</v>
      </c>
      <c r="D5" s="156"/>
      <c r="E5" s="152" t="s">
        <v>677</v>
      </c>
      <c r="F5" s="153"/>
      <c r="G5" s="153"/>
      <c r="H5" s="153"/>
      <c r="I5" s="153"/>
      <c r="J5" s="153"/>
      <c r="K5" s="153"/>
      <c r="L5" s="153"/>
      <c r="M5" s="154"/>
      <c r="BS5" s="128" t="s">
        <v>667</v>
      </c>
      <c r="BT5" s="128"/>
      <c r="BU5" s="128"/>
      <c r="BV5" s="128" t="s">
        <v>674</v>
      </c>
      <c r="BW5" s="128"/>
      <c r="BX5" s="128"/>
      <c r="BY5" s="128" t="s">
        <v>15</v>
      </c>
      <c r="BZ5" s="128"/>
    </row>
    <row r="6" spans="3:78" ht="26.25" customHeight="1" thickBot="1">
      <c r="C6" s="155" t="s">
        <v>550</v>
      </c>
      <c r="D6" s="156"/>
      <c r="E6" s="152" t="s">
        <v>597</v>
      </c>
      <c r="F6" s="153"/>
      <c r="G6" s="153"/>
      <c r="H6" s="153"/>
      <c r="I6" s="153"/>
      <c r="J6" s="153"/>
      <c r="K6" s="153"/>
      <c r="L6" s="153"/>
      <c r="M6" s="154"/>
      <c r="BS6" s="128" t="s">
        <v>668</v>
      </c>
      <c r="BT6" s="128"/>
      <c r="BU6" s="128"/>
      <c r="BV6" s="128" t="s">
        <v>12</v>
      </c>
      <c r="BW6" s="128"/>
      <c r="BX6" s="128"/>
      <c r="BY6" s="128" t="s">
        <v>598</v>
      </c>
      <c r="BZ6" s="128"/>
    </row>
    <row r="7" spans="3:78" ht="14.25" customHeight="1" thickBot="1">
      <c r="BS7" s="128" t="s">
        <v>669</v>
      </c>
      <c r="BT7" s="128"/>
      <c r="BU7" s="128"/>
      <c r="BV7" s="128" t="s">
        <v>13</v>
      </c>
      <c r="BW7" s="128"/>
      <c r="BX7" s="128"/>
      <c r="BY7" s="128" t="s">
        <v>678</v>
      </c>
      <c r="BZ7" s="128"/>
    </row>
    <row r="8" spans="3:78" ht="29.25" customHeight="1" thickBot="1">
      <c r="C8" s="143" t="s">
        <v>251</v>
      </c>
      <c r="D8" s="144"/>
      <c r="E8" s="144"/>
      <c r="F8" s="144"/>
      <c r="G8" s="144"/>
      <c r="H8" s="144"/>
      <c r="I8" s="144"/>
      <c r="J8" s="144"/>
      <c r="K8" s="144"/>
      <c r="L8" s="144"/>
      <c r="M8" s="144"/>
      <c r="N8" s="144"/>
      <c r="O8" s="144"/>
      <c r="P8" s="144"/>
      <c r="Q8" s="144"/>
      <c r="R8" s="144"/>
      <c r="S8" s="144"/>
      <c r="T8" s="144"/>
      <c r="U8" s="145"/>
      <c r="X8" s="146" t="s">
        <v>54</v>
      </c>
      <c r="Y8" s="147"/>
      <c r="Z8" s="147"/>
      <c r="AA8" s="147"/>
      <c r="AB8" s="147"/>
      <c r="AC8" s="147"/>
      <c r="AD8" s="147"/>
      <c r="AE8" s="147"/>
      <c r="AF8" s="147"/>
      <c r="AG8" s="147"/>
      <c r="AH8" s="148"/>
      <c r="BS8" s="128" t="s">
        <v>670</v>
      </c>
      <c r="BT8" s="128"/>
      <c r="BU8" s="128"/>
      <c r="BV8" s="128" t="s">
        <v>16</v>
      </c>
      <c r="BW8" s="128"/>
      <c r="BX8" s="128"/>
      <c r="BY8" s="128"/>
      <c r="BZ8" s="128"/>
    </row>
    <row r="9" spans="3:78" s="14" customFormat="1" ht="32.25" customHeight="1" thickBot="1">
      <c r="C9" s="51" t="s">
        <v>107</v>
      </c>
      <c r="E9" s="51" t="s">
        <v>304</v>
      </c>
      <c r="F9" s="19"/>
      <c r="G9" s="19"/>
      <c r="H9" s="19"/>
      <c r="I9" s="86" t="s">
        <v>12</v>
      </c>
      <c r="J9" s="19"/>
      <c r="K9" s="19"/>
      <c r="L9" s="19"/>
      <c r="M9" s="86" t="s">
        <v>13</v>
      </c>
      <c r="N9" s="19"/>
      <c r="O9" s="86" t="s">
        <v>16</v>
      </c>
      <c r="P9" s="19"/>
      <c r="Q9" s="18" t="s">
        <v>35</v>
      </c>
      <c r="R9" s="19"/>
      <c r="S9" s="19"/>
      <c r="T9" s="19"/>
      <c r="U9" s="18" t="s">
        <v>41</v>
      </c>
      <c r="V9" s="29"/>
      <c r="W9" s="19"/>
      <c r="X9" s="149"/>
      <c r="Y9" s="150"/>
      <c r="Z9" s="150"/>
      <c r="AA9" s="150"/>
      <c r="AB9" s="150"/>
      <c r="AC9" s="150"/>
      <c r="AD9" s="150"/>
      <c r="AE9" s="150"/>
      <c r="AF9" s="150"/>
      <c r="AG9" s="150"/>
      <c r="AH9" s="151"/>
      <c r="BS9" s="129" t="s">
        <v>672</v>
      </c>
      <c r="BT9" s="129"/>
      <c r="BU9" s="129"/>
      <c r="BV9" s="129" t="s">
        <v>675</v>
      </c>
      <c r="BW9" s="129"/>
      <c r="BX9" s="129"/>
      <c r="BY9" s="129"/>
      <c r="BZ9" s="129"/>
    </row>
    <row r="10" spans="3:78" s="15" customFormat="1" ht="57" customHeight="1">
      <c r="C10" s="10" t="s">
        <v>382</v>
      </c>
      <c r="E10" s="10" t="s">
        <v>684</v>
      </c>
      <c r="F10" s="19"/>
      <c r="G10" s="19"/>
      <c r="H10" s="19"/>
      <c r="I10" s="10" t="s">
        <v>12</v>
      </c>
      <c r="J10" s="19"/>
      <c r="K10" s="19"/>
      <c r="L10" s="19"/>
      <c r="M10" s="54" t="s">
        <v>13</v>
      </c>
      <c r="N10" s="19"/>
      <c r="O10" s="54" t="s">
        <v>16</v>
      </c>
      <c r="P10" s="19"/>
      <c r="Q10" s="54" t="s">
        <v>38</v>
      </c>
      <c r="R10" s="19"/>
      <c r="S10" s="19"/>
      <c r="T10" s="19"/>
      <c r="U10" s="54" t="s">
        <v>18</v>
      </c>
      <c r="V10" s="30"/>
      <c r="W10" s="19"/>
      <c r="X10" s="87" t="s">
        <v>3</v>
      </c>
      <c r="Y10" s="87" t="s">
        <v>25</v>
      </c>
      <c r="Z10" s="87" t="s">
        <v>36</v>
      </c>
      <c r="AA10" s="87" t="s">
        <v>37</v>
      </c>
      <c r="AB10" s="87" t="s">
        <v>26</v>
      </c>
      <c r="AC10" s="87" t="s">
        <v>39</v>
      </c>
      <c r="AD10" s="87" t="s">
        <v>42</v>
      </c>
      <c r="AE10" s="87" t="s">
        <v>43</v>
      </c>
      <c r="AF10" s="87"/>
      <c r="AG10" s="87"/>
      <c r="AH10" s="87" t="s">
        <v>28</v>
      </c>
      <c r="BS10" s="130"/>
      <c r="BT10" s="130"/>
      <c r="BU10" s="130"/>
      <c r="BV10" s="130" t="s">
        <v>41</v>
      </c>
      <c r="BW10" s="130"/>
      <c r="BX10" s="130"/>
      <c r="BY10" s="130"/>
      <c r="BZ10" s="130"/>
    </row>
    <row r="11" spans="3:78" ht="57" customHeight="1">
      <c r="C11" s="21" t="str">
        <f>CONCATENATE("Network Management",CHAR(10)," (",COUNTIF('A1. HLBR - Provider Mgmt'!E4:E48,"Network ManagementGeneral-All"),")")</f>
        <v>Network Management
 (5)</v>
      </c>
      <c r="D11" s="19"/>
      <c r="E11" s="21" t="str">
        <f>CONCATENATE("Claims Data Capture",CHAR(10)," (",COUNTIF('B1. HLBR - Claims Submission'!E4:E47,"Claims Data CaptureGeneral-All"),")")</f>
        <v>Claims Data Capture
 (10)</v>
      </c>
      <c r="F11" s="19" t="s">
        <v>14</v>
      </c>
      <c r="G11" s="19" t="s">
        <v>72</v>
      </c>
      <c r="H11" s="19"/>
      <c r="I11" s="21" t="str">
        <f>CONCATENATE("Claims Registration",CHAR(10)," (",COUNTIF('B2. HLBR - Registration'!E4:E23,"Claims RegistrationGeneral"),")")</f>
        <v>Claims Registration
 (8)</v>
      </c>
      <c r="J11" s="19" t="s">
        <v>21</v>
      </c>
      <c r="K11" s="19" t="s">
        <v>72</v>
      </c>
      <c r="L11" s="19"/>
      <c r="M11" s="21" t="str">
        <f>CONCATENATE("Claims Assessment",CHAR(10)," (",COUNTIF('B3. HLBR - Assessment'!E4:E71,"Claims AssessmentGeneral"),")")</f>
        <v>Claims Assessment
 (25)</v>
      </c>
      <c r="N11" s="56"/>
      <c r="O11" s="21" t="str">
        <f>CONCATENATE("Claims Payment",CHAR(10)," (",COUNTIF('B4. HLBR - Settlement'!E4:E46,"Claims PaymentGeneral"),")")</f>
        <v>Claims Payment
 (9)</v>
      </c>
      <c r="P11" s="56"/>
      <c r="Q11" s="21" t="str">
        <f>CONCATENATE("Fraud Detection",CHAR(10)," (",COUNTIF('B5. HLBR - Fraud'!$E$4:$E$12,"Fraud detectionGeneral"),")")</f>
        <v>Fraud Detection
 (3)</v>
      </c>
      <c r="R11" s="56"/>
      <c r="S11" s="56"/>
      <c r="T11" s="56"/>
      <c r="U11" s="21" t="str">
        <f>CONCATENATE("Recovery Opportunity",CHAR(10)," (",COUNTIF('B6. HLBR - Recovery'!$E$4:$E$9,"Recovery OpportunityGeneral"),")")</f>
        <v>Recovery Opportunity
 (1)</v>
      </c>
      <c r="V11" s="31"/>
      <c r="W11" s="31"/>
      <c r="X11" s="21" t="str">
        <f>CONCATENATE("Claims Details",CHAR(10)," (",COUNTIF('B7. HLBR - General'!$E$4:$E$72,"Claims DetailsGeneral"),")")</f>
        <v>Claims Details
 (1)</v>
      </c>
      <c r="Y11" s="21" t="str">
        <f>CONCATENATE("User Profile",CHAR(10)," (",COUNTIF('B7. HLBR - General'!$E$4:$E$72,"User ProfileGeneral"),")")</f>
        <v>User Profile
 (1)</v>
      </c>
      <c r="Z11" s="21" t="str">
        <f>CONCATENATE("Claims Documents",CHAR(10)," (",COUNTIF('B7. HLBR - General'!$E$4:$E$72,"Claims DocumentsGeneral"),")")</f>
        <v>Claims Documents
 (3)</v>
      </c>
      <c r="AA11" s="21" t="str">
        <f>CONCATENATE("Trigger ICF",CHAR(10)," (",COUNTIF('B7. HLBR - General'!$E$4:$E$72,"Trigger ICFGeneral"),")")</f>
        <v>Trigger ICF
 (1)</v>
      </c>
      <c r="AB11" s="21" t="str">
        <f>CONCATENATE("Customer Complaint",CHAR(10)," (",COUNTIF('B7. HLBR - General'!$E$4:$E$72,"Customer ComplaintGeneral"),")")</f>
        <v>Customer Complaint
 (1)</v>
      </c>
      <c r="AC11" s="21" t="str">
        <f>CONCATENATE("Trigger Activity",CHAR(10)," (",COUNTIF('B7. HLBR - General'!$E$4:$E$72,"Trigger ActivityGeneral"),")")</f>
        <v>Trigger Activity
 (1)</v>
      </c>
      <c r="AD11" s="21" t="str">
        <f>CONCATENATE("Claims Metrics",CHAR(10)," (",COUNTIF('B7. HLBR - General'!$E$4:$E$72,"Claims MetricsGeneral"),")")</f>
        <v>Claims Metrics
 (1)</v>
      </c>
      <c r="AE11" s="21" t="str">
        <f>CONCATENATE("Audit Trail",CHAR(10)," (",COUNTIF('B7. HLBR - General'!$E$4:$E$72,"Audit TrailGeneral"),")")</f>
        <v>Audit Trail
 (2)</v>
      </c>
      <c r="AF11" s="26"/>
      <c r="AG11" s="26"/>
      <c r="AH11" s="21" t="str">
        <f>CONCATENATE("Vendor information",CHAR(10)," (",COUNTIF('B7. HLBR - General'!$E$4:$E$72,"Vendor InformationGeneral"),")")</f>
        <v>Vendor information
 (3)</v>
      </c>
      <c r="AI11" s="31"/>
      <c r="AJ11" s="31"/>
      <c r="AK11" s="31"/>
      <c r="AL11" s="31"/>
      <c r="AM11" s="31"/>
      <c r="AN11" s="57"/>
      <c r="AO11" s="57"/>
      <c r="AP11" s="57"/>
      <c r="BS11" s="128"/>
      <c r="BT11" s="128"/>
      <c r="BU11" s="128"/>
      <c r="BV11" s="128" t="s">
        <v>54</v>
      </c>
      <c r="BW11" s="128"/>
      <c r="BX11" s="128"/>
      <c r="BY11" s="128"/>
      <c r="BZ11" s="128"/>
    </row>
    <row r="12" spans="3:78" ht="69.75" customHeight="1">
      <c r="C12" s="21" t="str">
        <f>CONCATENATE("Contract Management ",CHAR(10)," (",COUNTIF('A1. HLBR - Provider Mgmt'!E4:E49,"Contract Management General-All"),")")</f>
        <v>Contract Management 
 (4)</v>
      </c>
      <c r="E12" s="21" t="str">
        <f>CONCATENATE("Claims Information",CHAR(10)," (",COUNTIF('B1. HLBR - Claims Submission'!E5:E48,"Claims InformationGeneral-All"),")")</f>
        <v>Claims Information
 (5)</v>
      </c>
      <c r="F12" s="19" t="s">
        <v>22</v>
      </c>
      <c r="G12" s="19" t="s">
        <v>74</v>
      </c>
      <c r="H12" s="19"/>
      <c r="I12" s="21" t="str">
        <f>CONCATENATE("Initial Reserves Calculations",CHAR(10)," (",COUNTIF('B2. HLBR - Registration'!E4:E23,"Initial Reserves CalculationsGeneral"),")")</f>
        <v>Initial Reserves Calculations
 (1)</v>
      </c>
      <c r="J12" s="19" t="s">
        <v>65</v>
      </c>
      <c r="K12" s="19" t="s">
        <v>72</v>
      </c>
      <c r="L12" s="19"/>
      <c r="M12" s="21" t="str">
        <f>CONCATENATE("Reserve Management",CHAR(10)," (",COUNTIF('B3. HLBR - Assessment'!E4:E71,"Reserves ManagementGeneral"),")")</f>
        <v>Reserve Management
 (2)</v>
      </c>
      <c r="N12" s="56"/>
      <c r="O12" s="21" t="str">
        <f>CONCATENATE("Settlement Reporting",CHAR(10)," (",COUNTIF('B4. HLBR - Settlement'!E$4:E$46,"Settlement ReportingGeneral"),")")</f>
        <v>Settlement Reporting
 (1)</v>
      </c>
      <c r="P12" s="56"/>
      <c r="Q12" s="21" t="str">
        <f>CONCATENATE("Fraud Investigation",CHAR(10)," (",COUNTIF('B5. HLBR - Fraud'!$E$4:$E$12,"Fraud InvestigationGeneral"),")")</f>
        <v>Fraud Investigation
 (5)</v>
      </c>
      <c r="R12" s="56"/>
      <c r="S12" s="56"/>
      <c r="T12" s="56"/>
      <c r="U12" s="21" t="str">
        <f>CONCATENATE("Recovery Doc Mgmt",CHAR(10)," (",COUNTIF('B6. HLBR - Recovery'!$E$4:$E$9,"Recovery Doc MgmtGeneral"),")")</f>
        <v>Recovery Doc Mgmt
 (1)</v>
      </c>
      <c r="V12" s="31"/>
      <c r="W12" s="56"/>
      <c r="X12" s="21" t="str">
        <f>CONCATENATE("Workplan / activity desktop",CHAR(10)," (",COUNTIF('B7. HLBR - General'!$E$4:$E$72,"Work plan / Activity DesktopGeneral"),")")</f>
        <v>Workplan / activity desktop
 (1)</v>
      </c>
      <c r="Y12" s="21" t="str">
        <f>CONCATENATE("Authority Limits",CHAR(10)," (",COUNTIF('B7. HLBR - General'!$E$4:$E$72,"Authority LimitsGeneral"),")")</f>
        <v>Authority Limits
 (1)</v>
      </c>
      <c r="Z12" s="21" t="str">
        <f>CONCATENATE("Claims Notes",CHAR(10)," (",COUNTIF('B7. HLBR - General'!$E$4:$E$72,"Claims NotesGeneral"),")")</f>
        <v>Claims Notes
 (1)</v>
      </c>
      <c r="AA12" s="56"/>
      <c r="AB12" s="31"/>
      <c r="AC12" s="21" t="str">
        <f>CONCATENATE("Reserving",CHAR(10)," (",COUNTIF('B7. HLBR - General'!$E$4:$E$72,"ReservingGeneral"),")")</f>
        <v>Reserving
 (1)</v>
      </c>
      <c r="AD12" s="21" t="str">
        <f>CONCATENATE("Workload Monitoring",CHAR(10)," (",COUNTIF('B7. HLBR - General'!$E$4:$E$72,"Workload MonitoringGeneral"),")")</f>
        <v>Workload Monitoring
 (1)</v>
      </c>
      <c r="AE12" s="21" t="str">
        <f>CONCATENATE("Claims Sampling for  File Review",CHAR(10)," (",COUNTIF('B7. HLBR - General'!$E$4:$E$72,"Claims Sampling for  File ReviewGeneral"),")")</f>
        <v>Claims Sampling for  File Review
 (1)</v>
      </c>
      <c r="AF12" s="26" t="s">
        <v>111</v>
      </c>
      <c r="AG12" s="26" t="s">
        <v>72</v>
      </c>
      <c r="AH12" s="57"/>
      <c r="AI12" s="57"/>
      <c r="AJ12" s="57"/>
      <c r="BS12" s="128"/>
      <c r="BT12" s="128"/>
      <c r="BU12" s="128"/>
      <c r="BV12" s="128" t="s">
        <v>676</v>
      </c>
      <c r="BW12" s="128"/>
      <c r="BX12" s="128"/>
      <c r="BY12" s="128"/>
      <c r="BZ12" s="128"/>
    </row>
    <row r="13" spans="3:78" ht="57" customHeight="1">
      <c r="C13" s="21" t="str">
        <f>CONCATENATE("Fee Structure",CHAR(10)," (",COUNTIF('A1. HLBR - Provider Mgmt'!E4:E50,"Fee StructureGeneral-All"),")")</f>
        <v>Fee Structure
 (4)</v>
      </c>
      <c r="E13" s="21" t="str">
        <f>CONCATENATE("Claims Data Capture specific",CHAR(10)," (",COUNTIF('B1. HLBR - Claims Submission'!E3:E46,"Claims Data CaptureCS - IP/OP/Non Network"),")")</f>
        <v>Claims Data Capture specific
 (1)</v>
      </c>
      <c r="F13" s="19" t="s">
        <v>19</v>
      </c>
      <c r="G13" s="19" t="s">
        <v>72</v>
      </c>
      <c r="H13" s="19"/>
      <c r="I13" s="21" t="str">
        <f>CONCATENATE("Fraud Detection",CHAR(10)," (",COUNTIF('B2. HLBR - Registration'!E4:E23,"Fraud DetectionGeneral"),")")</f>
        <v>Fraud Detection
 (2)</v>
      </c>
      <c r="J13" s="19" t="s">
        <v>29</v>
      </c>
      <c r="K13" s="19" t="s">
        <v>75</v>
      </c>
      <c r="L13" s="19"/>
      <c r="M13" s="21" t="str">
        <f>CONCATENATE("Capture claims data",CHAR(10)," (",COUNTIF('B3. HLBR - Assessment'!E4:E71,"Claims Data CaptureGeneral-All"),")")</f>
        <v>Capture claims data
 (0)</v>
      </c>
      <c r="N13" s="56"/>
      <c r="O13" s="21" t="str">
        <f>CONCATENATE("Claims Approval",CHAR(10)," (",COUNTIF('B4. HLBR - Settlement'!E$4:E$46,"Claims ApprovalGeneral"),")")</f>
        <v>Claims Approval
 (1)</v>
      </c>
      <c r="P13" s="56"/>
      <c r="Q13" s="21" t="str">
        <f>CONCATENATE("Rating",CHAR(10)," (",COUNTIF('B5. HLBR - Fraud'!$E$4:$E$12,"RatingGeneral"),")")</f>
        <v>Rating
 (1)</v>
      </c>
      <c r="R13" s="56"/>
      <c r="S13" s="56"/>
      <c r="T13" s="56"/>
      <c r="U13" s="21" t="str">
        <f>CONCATENATE("Recovery Doc Mgmt",CHAR(10)," (",COUNTIF('B6. HLBR - Recovery'!$E$4:$E$9,"Recovery Doc MgmtGeneral"),")")</f>
        <v>Recovery Doc Mgmt
 (1)</v>
      </c>
      <c r="V13" s="31"/>
      <c r="W13" s="56"/>
      <c r="X13" s="21" t="str">
        <f>CONCATENATE("Escalation",CHAR(10)," (",COUNTIF('B7. HLBR - General'!$E$4:$E$72,"EscalationGeneral"),")")</f>
        <v>Escalation
 (1)</v>
      </c>
      <c r="Y13" s="21" t="str">
        <f>CONCATENATE("Activity Pattern Setup",CHAR(10)," (",COUNTIF('B7. HLBR - General'!$E$4:$E$72,"Activity Pattern SetupGeneral"),")")</f>
        <v>Activity Pattern Setup
 (1)</v>
      </c>
      <c r="Z13" s="56"/>
      <c r="AA13" s="56"/>
      <c r="AB13" s="31"/>
      <c r="AC13" s="21" t="str">
        <f>CONCATENATE("Straight Through Processing",CHAR(10)," (",COUNTIF('B7. HLBR - General'!$E$4:$E$72,"Straight Through ProcessingGeneral"),")")</f>
        <v>Straight Through Processing
 (1)</v>
      </c>
      <c r="AD13" s="21" t="str">
        <f>CONCATENATE("Reporting",CHAR(10)," (",COUNTIF('B7. HLBR - General'!$E$4:$E$72,"ReportingGeneral"),")")</f>
        <v>Reporting
 (3)</v>
      </c>
      <c r="AE13" s="57"/>
      <c r="AF13" s="31" t="s">
        <v>112</v>
      </c>
      <c r="AG13" s="57" t="s">
        <v>72</v>
      </c>
      <c r="AH13" s="57"/>
      <c r="AI13" s="57"/>
      <c r="AJ13" s="57"/>
      <c r="BS13" s="128"/>
      <c r="BT13" s="128"/>
      <c r="BU13" s="128"/>
      <c r="BV13" s="128" t="s">
        <v>677</v>
      </c>
      <c r="BW13" s="128"/>
      <c r="BX13" s="128"/>
      <c r="BY13" s="128"/>
      <c r="BZ13" s="128"/>
    </row>
    <row r="14" spans="3:78" ht="72.75" customHeight="1">
      <c r="C14" s="21" t="str">
        <f>CONCATENATE("Validation",CHAR(10)," (",COUNTIF('A1. HLBR - Provider Mgmt'!E4:E51,"ValidationGeneral-All"),")")</f>
        <v>Validation
 (5)</v>
      </c>
      <c r="E14" s="21" t="str">
        <f>CONCATENATE("Vendor assignment",CHAR(10)," (",COUNTIF('B1. HLBR - Claims Submission'!E3:E52,"Vendor assignmentCS - IP/OP - China claims "),")")</f>
        <v>Vendor assignment
 (1)</v>
      </c>
      <c r="F14" s="19" t="s">
        <v>64</v>
      </c>
      <c r="G14" s="19" t="s">
        <v>73</v>
      </c>
      <c r="H14" s="19"/>
      <c r="I14" s="21" t="str">
        <f>CONCATENATE("Recovery Identification",CHAR(10)," (",COUNTIF('B2. HLBR - Registration'!E4:E23,"Recovery IdentificationGeneral"),")")</f>
        <v>Recovery Identification
 (1)</v>
      </c>
      <c r="J14" s="19" t="s">
        <v>52</v>
      </c>
      <c r="K14" s="19" t="s">
        <v>76</v>
      </c>
      <c r="L14" s="19"/>
      <c r="M14" s="21" t="str">
        <f>CONCATENATE("Display claims dataGeneral",CHAR(10)," (",COUNTIF('B3. HLBR - Assessment'!E4:E71,"Display claims dataGeneral"),")")</f>
        <v>Display claims dataGeneral
 (2)</v>
      </c>
      <c r="N14" s="56"/>
      <c r="O14" s="21" t="str">
        <f>CONCATENATE("Claims Closure",CHAR(10)," (",COUNTIF('B4. HLBR - Settlement'!E$4:E$46,"Claims ClosureGeneral"),")")</f>
        <v>Claims Closure
 (1)</v>
      </c>
      <c r="P14" s="56"/>
      <c r="Q14" s="56"/>
      <c r="R14" s="56"/>
      <c r="S14" s="56"/>
      <c r="T14" s="56"/>
      <c r="U14" s="21" t="str">
        <f>CONCATENATE("Recovery Reserve",CHAR(10)," (",COUNTIF('B6. HLBR - Recovery'!$E$4:$E$9,"Recovery ReserveGeneral"),")")</f>
        <v>Recovery Reserve
 (1)</v>
      </c>
      <c r="V14" s="31"/>
      <c r="W14" s="56"/>
      <c r="X14" s="21" t="str">
        <f>CONCATENATE("Claims Re-assignment",CHAR(10)," (",COUNTIF('B7. HLBR - General'!$E$4:$E$72,"Claims Re-assignmentGeneral"),")")</f>
        <v>Claims Re-assignment
 (1)</v>
      </c>
      <c r="Y14" s="21" t="str">
        <f>CONCATENATE("Claims Archiving",CHAR(10)," (",COUNTIF('B7. HLBR - General'!$E$4:$E$72,"Claims ArchivingGeneral"),")")</f>
        <v>Claims Archiving
 (1)</v>
      </c>
      <c r="Z14" s="56"/>
      <c r="AA14" s="56"/>
      <c r="AB14" s="31"/>
      <c r="AC14" s="21" t="str">
        <f>CONCATENATE("Inactive claims Management",CHAR(10)," (",COUNTIF('B7. HLBR - General'!$E$4:$E$72,"Inactive Claims ManagementGeneral"),")")</f>
        <v>Inactive claims Management
 (3)</v>
      </c>
      <c r="AD14" s="57"/>
      <c r="AE14" s="31"/>
      <c r="AF14" s="31" t="s">
        <v>3</v>
      </c>
      <c r="AG14" s="57" t="s">
        <v>72</v>
      </c>
      <c r="AH14" s="57"/>
      <c r="AI14" s="57"/>
      <c r="AJ14" s="57"/>
      <c r="BS14" s="128"/>
      <c r="BT14" s="128"/>
      <c r="BU14" s="128"/>
      <c r="BV14" s="128"/>
      <c r="BW14" s="128"/>
      <c r="BX14" s="128"/>
      <c r="BY14" s="128"/>
      <c r="BZ14" s="128"/>
    </row>
    <row r="15" spans="3:78" ht="57" customHeight="1">
      <c r="C15" s="21" t="str">
        <f>CONCATENATE("Provider Profile",CHAR(10)," (",COUNTIF('A1. HLBR - Provider Mgmt'!E4:E52,"Provider ProfileGeneral-All"),")")</f>
        <v>Provider Profile
 (11)</v>
      </c>
      <c r="E15" s="21" t="str">
        <f>CONCATENATE("Eligibility Check",CHAR(10)," (",COUNTIF('B1. HLBR - Claims Submission'!E4:E53,"Eligibility CheckGeneral-All"),")")</f>
        <v>Eligibility Check
 (5)</v>
      </c>
      <c r="F15" s="19" t="s">
        <v>63</v>
      </c>
      <c r="G15" s="19" t="s">
        <v>73</v>
      </c>
      <c r="H15" s="19"/>
      <c r="I15" s="21" t="str">
        <f>CONCATENATE("Coinsurance/Reinsurance Notification",CHAR(10)," (",COUNTIF('B2. HLBR - Registration'!E4:E23,"Reinsurance/coinsurance notificationGeneral"),")")</f>
        <v>Coinsurance/Reinsurance Notification
 (1)</v>
      </c>
      <c r="J15" s="19" t="s">
        <v>66</v>
      </c>
      <c r="K15" s="19" t="s">
        <v>72</v>
      </c>
      <c r="L15" s="19"/>
      <c r="M15" s="21" t="str">
        <f>CONCATENATE("Correspondence",CHAR(10)," (",COUNTIF('B3. HLBR - Assessment'!E4:E71,"CorrespondenceGeneral"),")")</f>
        <v>Correspondence
 (1)</v>
      </c>
      <c r="N15" s="56"/>
      <c r="O15" s="21" t="str">
        <f>CONCATENATE("Correspondence",CHAR(10)," (",COUNTIF('B4. HLBR - Settlement'!E$4:E$46,"CorrespondenceGeneral"),")")</f>
        <v>Correspondence
 (4)</v>
      </c>
      <c r="P15" s="56"/>
      <c r="Q15" s="56"/>
      <c r="R15" s="56"/>
      <c r="S15" s="56"/>
      <c r="T15" s="56"/>
      <c r="U15" s="21" t="str">
        <f>CONCATENATE("Correspondence",CHAR(10)," (",COUNTIF('B6. HLBR - Recovery'!$E$4:$E$9,"CorrespondenceGeneral"),")")</f>
        <v>Correspondence
 (1)</v>
      </c>
      <c r="V15" s="57"/>
      <c r="W15" s="56"/>
      <c r="X15" s="56"/>
      <c r="Y15" s="21" t="str">
        <f>CONCATENATE("Holidays Setup",CHAR(10)," (",COUNTIF('B7. HLBR - General'!$E$4:$E$72,"Holidays SetupGeneral"),")")</f>
        <v>Holidays Setup
 (1)</v>
      </c>
      <c r="Z15" s="56"/>
      <c r="AA15" s="56"/>
      <c r="AB15" s="31"/>
      <c r="AC15" s="21" t="str">
        <f>CONCATENATE("Claims Status",CHAR(10)," (",COUNTIF('B7. HLBR - General'!$E$4:$E$72,"Claims StatusGeneral"),")")</f>
        <v>Claims Status
 (3)</v>
      </c>
      <c r="AD15" s="57"/>
      <c r="AE15" s="31"/>
      <c r="AF15" s="31" t="s">
        <v>113</v>
      </c>
      <c r="AG15" s="57" t="s">
        <v>72</v>
      </c>
      <c r="AH15" s="57"/>
      <c r="AI15" s="57"/>
      <c r="AJ15" s="57"/>
    </row>
    <row r="16" spans="3:78" ht="57" customHeight="1">
      <c r="C16" s="21" t="str">
        <f>CONCATENATE("Prior Approval",CHAR(10)," (",COUNTIF('A1. HLBR - Provider Mgmt'!E4:E52,"Prior ApprovalGeneral-All"),")")</f>
        <v>Prior Approval
 (2)</v>
      </c>
      <c r="E16" s="21" t="str">
        <f>CONCATENATE("Claimant Master",CHAR(10)," (",COUNTIF('B1. HLBR - Claims Submission'!E5:E54,"Claimant MasterGeneral-All"),")")</f>
        <v>Claimant Master
 (1)</v>
      </c>
      <c r="F16" s="19" t="s">
        <v>57</v>
      </c>
      <c r="G16" s="19" t="s">
        <v>72</v>
      </c>
      <c r="H16" s="19"/>
      <c r="I16" s="21" t="str">
        <f>CONCATENATE("Claims Segmentation",CHAR(10)," (",COUNTIF('B2. HLBR - Registration'!E4:E23,"Claims SegmentationGeneral"),")")</f>
        <v>Claims Segmentation
 (1)</v>
      </c>
      <c r="J16" s="19" t="s">
        <v>34</v>
      </c>
      <c r="K16" s="19" t="s">
        <v>77</v>
      </c>
      <c r="L16" s="19"/>
      <c r="M16" s="21" t="str">
        <f>CONCATENATE("Coordination of Benefits",CHAR(10)," (",COUNTIF('B3. HLBR - Assessment'!E4:E71,"Coordination of benefitsGeneral"),")")</f>
        <v>Coordination of Benefits
 (2)</v>
      </c>
      <c r="N16" s="56"/>
      <c r="O16" s="21" t="str">
        <f>CONCATENATE("Claims reopen",CHAR(10)," (",COUNTIF('B4. HLBR - Settlement'!E$4:E$46,"Claims reopenGeneral"),")")</f>
        <v>Claims reopen
 (1)</v>
      </c>
      <c r="P16" s="56"/>
      <c r="Q16" s="56"/>
      <c r="R16" s="56"/>
      <c r="S16" s="56"/>
      <c r="T16" s="56"/>
      <c r="U16" s="21" t="str">
        <f>CONCATENATE("Recovery Investigation",CHAR(10)," (",COUNTIF('B6. HLBR - Recovery'!$E$4:$E$9,"Recovery ReserveGeneral"),")")</f>
        <v>Recovery Investigation
 (1)</v>
      </c>
      <c r="V16" s="56"/>
      <c r="W16" s="56"/>
      <c r="X16" s="56"/>
      <c r="Y16" s="21" t="str">
        <f>CONCATENATE("Policy Setup",CHAR(10)," (",COUNTIF('B7. HLBR - General'!$E$4:$E$72,"Policy SetupGeneral"),")")</f>
        <v>Policy Setup
 (1)</v>
      </c>
      <c r="Z16" s="56"/>
      <c r="AA16" s="56"/>
      <c r="AB16" s="31"/>
      <c r="AC16" s="21" t="str">
        <f>CONCATENATE("Validation/ reason codes",CHAR(10)," (",COUNTIF('B7. HLBR - General'!$E$4:$E$72,"Validation/ reason codesGeneral"),")")</f>
        <v>Validation/ reason codes
 (1)</v>
      </c>
      <c r="AD16" s="57"/>
      <c r="AE16" s="31"/>
      <c r="AF16" s="31" t="s">
        <v>114</v>
      </c>
      <c r="AG16" s="57" t="s">
        <v>72</v>
      </c>
      <c r="AH16" s="57"/>
      <c r="AI16" s="57"/>
      <c r="AJ16" s="57"/>
    </row>
    <row r="17" spans="1:36" ht="71.25" customHeight="1">
      <c r="F17" s="19" t="s">
        <v>51</v>
      </c>
      <c r="G17" s="19" t="s">
        <v>72</v>
      </c>
      <c r="H17" s="19"/>
      <c r="I17" s="21" t="str">
        <f>CONCATENATE("Claims Assignment",CHAR(10)," (",COUNTIF('B2. HLBR - Registration'!E4:E23,"Claims AssignmentGeneral"),")")</f>
        <v>Claims Assignment
 (2)</v>
      </c>
      <c r="J17" s="19" t="s">
        <v>20</v>
      </c>
      <c r="K17" s="19" t="s">
        <v>77</v>
      </c>
      <c r="L17" s="19"/>
      <c r="M17" s="21" t="str">
        <f>CONCATENATE("Claims document management",CHAR(10)," (",COUNTIF('B3. HLBR - Assessment'!E4:E71,"Claims document managementGeneral"),")")</f>
        <v>Claims document management
 (1)</v>
      </c>
      <c r="N17" s="56"/>
      <c r="O17" s="56"/>
      <c r="P17" s="56"/>
      <c r="Q17" s="56"/>
      <c r="R17" s="56"/>
      <c r="S17" s="56"/>
      <c r="T17" s="56"/>
      <c r="U17" s="56"/>
      <c r="V17" s="56"/>
      <c r="W17" s="56"/>
      <c r="X17" s="56"/>
      <c r="Y17" s="21" t="str">
        <f>CONCATENATE("Language",CHAR(10)," (",COUNTIF('B7. HLBR - General'!$E$4:$E$72,"LanguageGeneral"),")")</f>
        <v>Language
 (1)</v>
      </c>
      <c r="Z17" s="56"/>
      <c r="AA17" s="56"/>
      <c r="AB17" s="31"/>
      <c r="AD17" s="56"/>
      <c r="AE17" s="31"/>
      <c r="AF17" s="31" t="s">
        <v>115</v>
      </c>
      <c r="AG17" s="57" t="s">
        <v>72</v>
      </c>
      <c r="AH17" s="57"/>
      <c r="AI17" s="57"/>
      <c r="AJ17" s="57"/>
    </row>
    <row r="18" spans="1:36" ht="57" customHeight="1">
      <c r="F18" s="19"/>
      <c r="G18" s="19"/>
      <c r="H18" s="19"/>
      <c r="I18" s="21" t="str">
        <f>CONCATENATE("Confirmation of Loss Notification",CHAR(10)," (",COUNTIF('B2. HLBR - Registration'!E5:E24,"Confirmation of Loss NotificationGeneral-All"),")")</f>
        <v>Confirmation of Loss Notification
 (2)</v>
      </c>
      <c r="J18" s="19"/>
      <c r="K18" s="19"/>
      <c r="L18" s="19"/>
      <c r="M18" s="21" t="str">
        <f>CONCATENATE("Claims decision",CHAR(10)," (",COUNTIF('B3. HLBR - Assessment'!E5:E72,"Claims decisionGeneral"),")")</f>
        <v>Claims decision
 (1)</v>
      </c>
      <c r="N18" s="56"/>
      <c r="O18" s="31"/>
      <c r="P18" s="56"/>
      <c r="Q18" s="56"/>
      <c r="R18" s="56"/>
      <c r="S18" s="56"/>
      <c r="T18" s="56"/>
      <c r="U18" s="56"/>
      <c r="V18" s="56"/>
      <c r="W18" s="56"/>
      <c r="X18" s="56"/>
      <c r="Z18" s="56"/>
      <c r="AA18" s="56"/>
      <c r="AB18" s="31"/>
      <c r="AD18" s="56"/>
      <c r="AE18" s="31"/>
      <c r="AF18" s="31" t="s">
        <v>116</v>
      </c>
      <c r="AG18" s="57" t="s">
        <v>72</v>
      </c>
      <c r="AH18" s="57"/>
      <c r="AI18" s="57"/>
      <c r="AJ18" s="57"/>
    </row>
    <row r="19" spans="1:36" ht="57" customHeight="1">
      <c r="F19" s="19"/>
      <c r="G19" s="19"/>
      <c r="H19" s="19"/>
      <c r="J19" s="19"/>
      <c r="K19" s="19"/>
      <c r="L19" s="19"/>
      <c r="M19" s="21" t="str">
        <f>CONCATENATE("Claims Litigation",CHAR(10)," (",COUNTIF('B3. HLBR - Assessment'!E6:E73,"Claims LitigationGeneral"),")")</f>
        <v>Claims Litigation
 (1)</v>
      </c>
      <c r="N19" s="56"/>
      <c r="O19" s="31"/>
      <c r="P19" s="56"/>
      <c r="Q19" s="56"/>
      <c r="R19" s="56"/>
      <c r="S19" s="56"/>
      <c r="T19" s="56"/>
      <c r="U19" s="56"/>
      <c r="V19" s="56"/>
      <c r="W19" s="56"/>
      <c r="X19" s="56"/>
      <c r="Y19" s="57"/>
      <c r="Z19" s="56"/>
      <c r="AA19" s="56"/>
      <c r="AB19" s="31"/>
      <c r="AC19" s="56"/>
      <c r="AD19" s="56"/>
      <c r="AE19" s="31"/>
      <c r="AF19" s="31"/>
      <c r="AG19" s="57"/>
      <c r="AH19" s="57"/>
      <c r="AI19" s="57"/>
      <c r="AJ19" s="57"/>
    </row>
    <row r="20" spans="1:36" ht="47.25" customHeight="1">
      <c r="M20" s="21" t="str">
        <f>CONCATENATE("ASO Handling",CHAR(10)," (",COUNTIF('B3. HLBR - Assessment'!E7:E74,"ASO handlingGeneral"),")")</f>
        <v>ASO Handling
 (4)</v>
      </c>
      <c r="W20" s="56"/>
      <c r="X20" s="56"/>
      <c r="Y20" s="57"/>
      <c r="Z20" s="56"/>
      <c r="AA20" s="56"/>
      <c r="AB20" s="31"/>
      <c r="AE20" s="31"/>
      <c r="AF20" s="31" t="s">
        <v>117</v>
      </c>
      <c r="AG20" s="57" t="s">
        <v>72</v>
      </c>
      <c r="AH20" s="57"/>
      <c r="AI20" s="57"/>
      <c r="AJ20" s="57"/>
    </row>
    <row r="21" spans="1:36" ht="47.25" customHeight="1" thickBot="1">
      <c r="M21" s="21" t="str">
        <f>CONCATENATE("Medisave",CHAR(10)," (",COUNTIF('B3. HLBR - Assessment'!E8:E75,"MedisaveGeneral"),")")</f>
        <v>Medisave
 (2)</v>
      </c>
      <c r="W21" s="56"/>
      <c r="X21" s="56"/>
      <c r="Y21" s="57"/>
      <c r="Z21" s="56"/>
      <c r="AA21" s="56"/>
      <c r="AB21" s="31"/>
      <c r="AE21" s="31"/>
      <c r="AF21" s="31"/>
      <c r="AG21" s="57"/>
      <c r="AH21" s="57"/>
      <c r="AI21" s="57"/>
      <c r="AJ21" s="57"/>
    </row>
    <row r="22" spans="1:36" ht="45.75" customHeight="1" thickBot="1">
      <c r="A22" s="90" t="s">
        <v>217</v>
      </c>
      <c r="B22" s="89"/>
      <c r="C22" s="81">
        <f>COUNTIF('A1. HLBR - Provider Mgmt'!B:B,'A1. HLBR - Provider Mgmt'!B8)</f>
        <v>32</v>
      </c>
      <c r="D22" s="82"/>
      <c r="E22" s="82">
        <f>COUNTIF('B1. HLBR - Claims Submission'!B:B,'B1. HLBR - Claims Submission'!B4)</f>
        <v>23</v>
      </c>
      <c r="F22" s="82"/>
      <c r="G22" s="82"/>
      <c r="H22" s="82"/>
      <c r="I22" s="82">
        <f>COUNTIF('B2. HLBR - Registration'!B:B,'B2. HLBR - Registration'!B13)</f>
        <v>18</v>
      </c>
      <c r="J22" s="82"/>
      <c r="K22" s="82"/>
      <c r="L22" s="82"/>
      <c r="M22" s="82">
        <f>COUNTIF('B3. HLBR - Assessment'!B:B,'B3. HLBR - Assessment'!B4)</f>
        <v>43</v>
      </c>
      <c r="N22" s="82"/>
      <c r="O22" s="82">
        <f>COUNTIF('B4. HLBR - Settlement'!B:B,'B4. HLBR - Settlement'!B4)</f>
        <v>17</v>
      </c>
      <c r="P22" s="82"/>
      <c r="Q22" s="82">
        <f>COUNTIF('B5. HLBR - Fraud'!B:B,'B5. HLBR - Fraud'!B4)</f>
        <v>9</v>
      </c>
      <c r="R22" s="82"/>
      <c r="S22" s="82"/>
      <c r="T22" s="82"/>
      <c r="U22" s="120">
        <f>COUNTIF('B6. HLBR - Recovery'!B:B,'B6. HLBR - Recovery'!B4)</f>
        <v>6</v>
      </c>
      <c r="V22" s="88">
        <f>SUM(C22:U22)</f>
        <v>148</v>
      </c>
      <c r="W22" s="56"/>
      <c r="X22" s="81">
        <v>4</v>
      </c>
      <c r="Y22" s="83">
        <v>7</v>
      </c>
      <c r="Z22" s="82">
        <v>4</v>
      </c>
      <c r="AA22" s="82">
        <v>1</v>
      </c>
      <c r="AB22" s="84">
        <v>1</v>
      </c>
      <c r="AC22" s="82">
        <v>10</v>
      </c>
      <c r="AD22" s="82">
        <v>5</v>
      </c>
      <c r="AE22" s="84">
        <v>3</v>
      </c>
      <c r="AF22" s="84" t="s">
        <v>118</v>
      </c>
      <c r="AG22" s="85" t="s">
        <v>72</v>
      </c>
      <c r="AH22" s="83">
        <v>3</v>
      </c>
      <c r="AI22" s="121">
        <f>SUM(X22:AH22)</f>
        <v>38</v>
      </c>
      <c r="AJ22" s="122">
        <f>V22+AI22</f>
        <v>186</v>
      </c>
    </row>
    <row r="23" spans="1:36" ht="14.25" customHeight="1">
      <c r="E23" s="19"/>
      <c r="F23" s="19"/>
      <c r="G23" s="19"/>
      <c r="H23" s="19"/>
      <c r="I23" s="19"/>
      <c r="J23" s="19"/>
      <c r="K23" s="19"/>
      <c r="L23" s="19"/>
      <c r="M23" s="56"/>
      <c r="N23" s="56"/>
      <c r="O23" s="56"/>
      <c r="P23" s="56"/>
      <c r="Q23" s="56"/>
      <c r="R23" s="56"/>
      <c r="S23" s="56"/>
      <c r="T23" s="56"/>
      <c r="U23" s="56"/>
      <c r="V23" s="56"/>
      <c r="W23" s="56"/>
      <c r="X23" s="56"/>
      <c r="Y23" s="57"/>
      <c r="Z23" s="56"/>
      <c r="AA23" s="57"/>
      <c r="AB23" s="31"/>
      <c r="AC23" s="19"/>
      <c r="AD23" s="57"/>
      <c r="AE23" s="31"/>
      <c r="AF23" s="31" t="s">
        <v>119</v>
      </c>
      <c r="AG23" s="57" t="s">
        <v>72</v>
      </c>
      <c r="AH23" s="57"/>
      <c r="AI23" s="57"/>
      <c r="AJ23" s="57"/>
    </row>
    <row r="24" spans="1:36" ht="57" customHeight="1">
      <c r="E24" s="19"/>
      <c r="F24" s="19"/>
      <c r="G24" s="19"/>
      <c r="H24" s="19"/>
      <c r="I24" s="19"/>
      <c r="J24" s="19"/>
      <c r="K24" s="19"/>
      <c r="L24" s="19"/>
      <c r="M24" s="56"/>
      <c r="N24" s="56"/>
      <c r="O24" s="56"/>
      <c r="P24" s="56"/>
      <c r="Q24" s="56"/>
      <c r="R24" s="56"/>
      <c r="S24" s="56"/>
      <c r="T24" s="56"/>
      <c r="U24" s="56"/>
      <c r="V24" s="56"/>
      <c r="W24" s="56"/>
      <c r="X24" s="56"/>
      <c r="Y24" s="56"/>
      <c r="Z24" s="56"/>
      <c r="AA24" s="56"/>
      <c r="AB24" s="31"/>
      <c r="AC24" s="19"/>
      <c r="AD24" s="56"/>
      <c r="AE24" s="57"/>
      <c r="AF24" s="57"/>
      <c r="AG24" s="57"/>
      <c r="AH24" s="57"/>
      <c r="AI24" s="57"/>
      <c r="AJ24" s="57"/>
    </row>
    <row r="25" spans="1:36" ht="57" customHeight="1">
      <c r="E25" s="19"/>
      <c r="F25" s="19"/>
      <c r="G25" s="19"/>
      <c r="H25" s="19"/>
      <c r="I25" s="19"/>
      <c r="J25" s="19"/>
      <c r="K25" s="19"/>
      <c r="L25" s="19"/>
      <c r="M25" s="56"/>
      <c r="N25" s="56"/>
      <c r="O25" s="56"/>
      <c r="P25" s="56"/>
      <c r="Q25" s="56"/>
      <c r="R25" s="56"/>
      <c r="S25" s="56"/>
      <c r="T25" s="56"/>
      <c r="U25" s="56"/>
      <c r="V25" s="56"/>
      <c r="W25" s="56"/>
      <c r="X25" s="56"/>
      <c r="Y25" s="56"/>
      <c r="Z25" s="56"/>
      <c r="AA25" s="56"/>
      <c r="AB25" s="31"/>
      <c r="AC25" s="19"/>
      <c r="AD25" s="56"/>
      <c r="AE25" s="31"/>
      <c r="AF25" s="31" t="s">
        <v>120</v>
      </c>
      <c r="AG25" s="57" t="s">
        <v>72</v>
      </c>
      <c r="AH25" s="57"/>
      <c r="AI25" s="57"/>
      <c r="AJ25" s="57"/>
    </row>
    <row r="26" spans="1:36" ht="57" customHeight="1">
      <c r="E26" s="19"/>
      <c r="F26" s="19"/>
      <c r="G26" s="19"/>
      <c r="H26" s="19"/>
      <c r="I26" s="19"/>
      <c r="J26" s="19"/>
      <c r="K26" s="19"/>
      <c r="L26" s="19"/>
      <c r="M26" s="56"/>
      <c r="N26" s="56"/>
      <c r="O26" s="56"/>
      <c r="P26" s="56"/>
      <c r="Q26" s="56"/>
      <c r="R26" s="56"/>
      <c r="S26" s="56"/>
      <c r="T26" s="56"/>
      <c r="U26" s="56"/>
      <c r="V26" s="56"/>
      <c r="W26" s="56"/>
      <c r="X26" s="56"/>
      <c r="Y26" s="19"/>
      <c r="Z26" s="56"/>
      <c r="AA26" s="56"/>
      <c r="AB26" s="31"/>
      <c r="AC26" s="19"/>
      <c r="AD26" s="56"/>
      <c r="AE26" s="31"/>
      <c r="AF26" s="31" t="s">
        <v>121</v>
      </c>
      <c r="AG26" s="57" t="s">
        <v>72</v>
      </c>
      <c r="AH26" s="57"/>
      <c r="AI26" s="57"/>
      <c r="AJ26" s="57"/>
    </row>
    <row r="27" spans="1:36" ht="26.4">
      <c r="E27" s="19"/>
      <c r="F27" s="19"/>
      <c r="G27" s="19"/>
      <c r="H27" s="19"/>
      <c r="I27" s="19"/>
      <c r="J27" s="19"/>
      <c r="K27" s="19"/>
      <c r="L27" s="19"/>
      <c r="M27" s="56"/>
      <c r="N27" s="56"/>
      <c r="O27" s="56"/>
      <c r="P27" s="56"/>
      <c r="Q27" s="56"/>
      <c r="R27" s="56"/>
      <c r="S27" s="56"/>
      <c r="T27" s="56"/>
      <c r="U27" s="56"/>
      <c r="V27" s="56"/>
      <c r="W27" s="56"/>
      <c r="X27" s="56"/>
      <c r="Y27" s="19"/>
      <c r="Z27" s="56"/>
      <c r="AA27" s="56"/>
      <c r="AB27" s="31"/>
      <c r="AC27" s="19"/>
      <c r="AD27" s="56"/>
      <c r="AE27" s="31"/>
      <c r="AF27" s="31" t="s">
        <v>122</v>
      </c>
      <c r="AG27" s="57" t="s">
        <v>72</v>
      </c>
      <c r="AH27" s="57"/>
      <c r="AI27" s="57"/>
      <c r="AJ27" s="57"/>
    </row>
    <row r="28" spans="1:36" ht="26.4">
      <c r="E28" s="19"/>
      <c r="F28" s="19"/>
      <c r="G28" s="19"/>
      <c r="H28" s="19"/>
      <c r="I28" s="19"/>
      <c r="J28" s="19"/>
      <c r="K28" s="19"/>
      <c r="L28" s="19"/>
      <c r="M28" s="56"/>
      <c r="N28" s="56"/>
      <c r="O28" s="56"/>
      <c r="P28" s="56"/>
      <c r="Q28" s="56"/>
      <c r="R28" s="56"/>
      <c r="S28" s="56"/>
      <c r="T28" s="56"/>
      <c r="U28" s="56"/>
      <c r="V28" s="56"/>
      <c r="W28" s="56"/>
      <c r="X28" s="56"/>
      <c r="Y28" s="19"/>
      <c r="Z28" s="56"/>
      <c r="AA28" s="56"/>
      <c r="AB28" s="31"/>
      <c r="AC28" s="19"/>
      <c r="AD28" s="56"/>
      <c r="AE28" s="31"/>
      <c r="AF28" s="31" t="s">
        <v>123</v>
      </c>
      <c r="AG28" s="57" t="s">
        <v>72</v>
      </c>
      <c r="AH28" s="57"/>
      <c r="AI28" s="57"/>
      <c r="AJ28" s="57"/>
    </row>
    <row r="29" spans="1:36" ht="39.6">
      <c r="E29" s="19"/>
      <c r="F29" s="19"/>
      <c r="G29" s="19"/>
      <c r="H29" s="19"/>
      <c r="I29" s="19"/>
      <c r="J29" s="19"/>
      <c r="K29" s="19"/>
      <c r="L29" s="19"/>
      <c r="M29" s="56"/>
      <c r="N29" s="56"/>
      <c r="O29" s="56"/>
      <c r="P29" s="56"/>
      <c r="Q29" s="56"/>
      <c r="R29" s="56"/>
      <c r="S29" s="56"/>
      <c r="T29" s="56"/>
      <c r="U29" s="56"/>
      <c r="V29" s="56"/>
      <c r="W29" s="56"/>
      <c r="X29" s="56"/>
      <c r="Y29" s="19"/>
      <c r="Z29" s="56"/>
      <c r="AA29" s="56"/>
      <c r="AB29" s="31"/>
      <c r="AC29" s="16"/>
      <c r="AD29" s="56"/>
      <c r="AE29" s="31"/>
      <c r="AF29" s="31" t="s">
        <v>124</v>
      </c>
      <c r="AG29" s="57" t="s">
        <v>72</v>
      </c>
      <c r="AH29" s="57"/>
      <c r="AI29" s="57"/>
      <c r="AJ29" s="57"/>
    </row>
    <row r="30" spans="1:36" ht="39.6">
      <c r="E30" s="19"/>
      <c r="F30" s="19"/>
      <c r="G30" s="19"/>
      <c r="H30" s="19"/>
      <c r="I30" s="19"/>
      <c r="J30" s="19"/>
      <c r="K30" s="19"/>
      <c r="L30" s="19"/>
      <c r="M30" s="56"/>
      <c r="N30" s="56"/>
      <c r="O30" s="56"/>
      <c r="P30" s="56"/>
      <c r="Q30" s="56"/>
      <c r="R30" s="56"/>
      <c r="S30" s="56"/>
      <c r="T30" s="56"/>
      <c r="U30" s="56"/>
      <c r="V30" s="56"/>
      <c r="W30" s="56"/>
      <c r="X30" s="56"/>
      <c r="Y30" s="19"/>
      <c r="Z30" s="56"/>
      <c r="AA30" s="56"/>
      <c r="AB30" s="31"/>
      <c r="AC30" s="16"/>
      <c r="AD30" s="56"/>
      <c r="AE30" s="31"/>
      <c r="AF30" s="31" t="s">
        <v>125</v>
      </c>
      <c r="AG30" s="57" t="s">
        <v>72</v>
      </c>
      <c r="AH30" s="57"/>
      <c r="AI30" s="57"/>
      <c r="AJ30" s="57"/>
    </row>
    <row r="31" spans="1:36" ht="13.2">
      <c r="F31" s="19"/>
      <c r="G31" s="19"/>
      <c r="H31" s="19"/>
      <c r="I31" s="19"/>
      <c r="J31" s="19"/>
      <c r="K31" s="19"/>
      <c r="L31" s="19"/>
      <c r="M31" s="56"/>
      <c r="N31" s="56"/>
      <c r="O31" s="56"/>
      <c r="P31" s="56"/>
      <c r="Q31" s="56"/>
      <c r="R31" s="56"/>
      <c r="S31" s="56"/>
      <c r="T31" s="56"/>
      <c r="U31" s="56"/>
      <c r="V31" s="56"/>
      <c r="W31" s="56"/>
      <c r="X31" s="56"/>
      <c r="Y31" s="19"/>
      <c r="Z31" s="56"/>
      <c r="AA31" s="56"/>
      <c r="AB31" s="56"/>
      <c r="AC31" s="16"/>
      <c r="AD31" s="19"/>
      <c r="AE31" s="56"/>
      <c r="AF31" s="31"/>
      <c r="AG31" s="31"/>
      <c r="AH31" s="57"/>
      <c r="AI31" s="57"/>
      <c r="AJ31" s="57"/>
    </row>
    <row r="32" spans="1:36" ht="39.6">
      <c r="F32" s="19"/>
      <c r="G32" s="19"/>
      <c r="H32" s="19"/>
      <c r="I32" s="19"/>
      <c r="J32" s="19"/>
      <c r="K32" s="19"/>
      <c r="L32" s="19"/>
      <c r="M32" s="19"/>
      <c r="N32" s="19"/>
      <c r="O32" s="19"/>
      <c r="P32" s="19"/>
      <c r="Q32" s="19"/>
      <c r="R32" s="19"/>
      <c r="S32" s="19"/>
      <c r="T32" s="19"/>
      <c r="U32" s="19"/>
      <c r="V32" s="32"/>
      <c r="W32" s="19"/>
      <c r="X32" s="19"/>
      <c r="Y32" s="19"/>
      <c r="Z32" s="19"/>
      <c r="AA32" s="19"/>
      <c r="AB32" s="19"/>
      <c r="AC32" s="16"/>
      <c r="AD32" s="19"/>
      <c r="AE32" s="19"/>
      <c r="AF32" s="55" t="s">
        <v>55</v>
      </c>
      <c r="AG32" s="55" t="s">
        <v>72</v>
      </c>
    </row>
    <row r="33" spans="6:33" ht="39.6">
      <c r="F33" s="19"/>
      <c r="G33" s="19"/>
      <c r="H33" s="19"/>
      <c r="I33" s="19"/>
      <c r="J33" s="19"/>
      <c r="K33" s="19"/>
      <c r="L33" s="19"/>
      <c r="M33" s="19"/>
      <c r="N33" s="19"/>
      <c r="O33" s="19"/>
      <c r="P33" s="19"/>
      <c r="Q33" s="19"/>
      <c r="R33" s="19"/>
      <c r="S33" s="19"/>
      <c r="T33" s="19"/>
      <c r="U33" s="19"/>
      <c r="V33" s="32"/>
      <c r="W33" s="19"/>
      <c r="X33" s="19"/>
      <c r="Y33" s="16"/>
      <c r="Z33" s="19"/>
      <c r="AA33" s="19"/>
      <c r="AB33" s="19"/>
      <c r="AC33" s="16"/>
      <c r="AD33" s="19"/>
      <c r="AE33" s="19"/>
      <c r="AF33" s="23" t="s">
        <v>56</v>
      </c>
      <c r="AG33" s="21" t="s">
        <v>78</v>
      </c>
    </row>
    <row r="34" spans="6:33" ht="39.6">
      <c r="F34" s="19"/>
      <c r="G34" s="19"/>
      <c r="H34" s="19"/>
      <c r="I34" s="19"/>
      <c r="J34" s="19"/>
      <c r="K34" s="19"/>
      <c r="L34" s="19"/>
      <c r="M34" s="19"/>
      <c r="N34" s="19"/>
      <c r="O34" s="19"/>
      <c r="P34" s="19"/>
      <c r="Q34" s="19"/>
      <c r="R34" s="19"/>
      <c r="S34" s="19"/>
      <c r="T34" s="19"/>
      <c r="U34" s="19"/>
      <c r="V34" s="32"/>
      <c r="W34" s="19"/>
      <c r="X34" s="19"/>
      <c r="Y34" s="16"/>
      <c r="Z34" s="19"/>
      <c r="AA34" s="19"/>
      <c r="AB34" s="19"/>
      <c r="AC34" s="16"/>
      <c r="AD34" s="19"/>
      <c r="AE34" s="19"/>
      <c r="AF34" s="21" t="s">
        <v>61</v>
      </c>
      <c r="AG34" s="21" t="s">
        <v>72</v>
      </c>
    </row>
    <row r="35" spans="6:33" ht="26.4">
      <c r="F35" s="19"/>
      <c r="G35" s="19"/>
      <c r="H35" s="19"/>
      <c r="I35" s="19"/>
      <c r="J35" s="19"/>
      <c r="K35" s="19"/>
      <c r="L35" s="19"/>
      <c r="M35" s="19"/>
      <c r="N35" s="19"/>
      <c r="O35" s="19"/>
      <c r="P35" s="19"/>
      <c r="Q35" s="19"/>
      <c r="R35" s="19"/>
      <c r="S35" s="19"/>
      <c r="T35" s="19"/>
      <c r="U35" s="19"/>
      <c r="V35" s="32"/>
      <c r="W35" s="19"/>
      <c r="X35" s="19"/>
      <c r="Y35" s="16"/>
      <c r="Z35" s="19"/>
      <c r="AA35" s="19"/>
      <c r="AB35" s="19"/>
      <c r="AD35" s="19"/>
      <c r="AE35" s="19"/>
      <c r="AF35" s="21" t="s">
        <v>2</v>
      </c>
      <c r="AG35" s="21" t="s">
        <v>72</v>
      </c>
    </row>
    <row r="36" spans="6:33" ht="39.6">
      <c r="F36" s="19"/>
      <c r="G36" s="19"/>
      <c r="H36" s="19"/>
      <c r="I36" s="19"/>
      <c r="J36" s="19"/>
      <c r="K36" s="19"/>
      <c r="L36" s="19"/>
      <c r="M36" s="19"/>
      <c r="N36" s="19"/>
      <c r="O36" s="16"/>
      <c r="P36" s="19"/>
      <c r="Q36" s="19"/>
      <c r="R36" s="19"/>
      <c r="S36" s="19"/>
      <c r="T36" s="19"/>
      <c r="U36" s="19"/>
      <c r="V36" s="32"/>
      <c r="W36" s="19"/>
      <c r="X36" s="19"/>
      <c r="Y36" s="16"/>
      <c r="Z36" s="19"/>
      <c r="AA36" s="19"/>
      <c r="AB36" s="19"/>
      <c r="AD36" s="19"/>
      <c r="AE36" s="19"/>
      <c r="AF36" s="27" t="s">
        <v>62</v>
      </c>
      <c r="AG36" s="21" t="s">
        <v>72</v>
      </c>
    </row>
    <row r="37" spans="6:33" ht="52.8">
      <c r="F37" s="19"/>
      <c r="G37" s="19"/>
      <c r="H37" s="19"/>
      <c r="I37" s="19"/>
      <c r="J37" s="19"/>
      <c r="K37" s="19"/>
      <c r="L37" s="19"/>
      <c r="M37" s="19"/>
      <c r="N37" s="19"/>
      <c r="O37" s="16"/>
      <c r="P37" s="19"/>
      <c r="Q37" s="19"/>
      <c r="R37" s="19"/>
      <c r="S37" s="19"/>
      <c r="T37" s="19"/>
      <c r="U37" s="19"/>
      <c r="V37" s="32"/>
      <c r="W37" s="19"/>
      <c r="X37" s="19"/>
      <c r="Y37" s="16"/>
      <c r="Z37" s="19"/>
      <c r="AA37" s="19"/>
      <c r="AB37" s="19"/>
      <c r="AD37" s="19"/>
      <c r="AE37" s="19"/>
      <c r="AF37" s="21" t="s">
        <v>44</v>
      </c>
      <c r="AG37" s="21" t="s">
        <v>72</v>
      </c>
    </row>
    <row r="38" spans="6:33" ht="26.4">
      <c r="F38" s="19"/>
      <c r="G38" s="19"/>
      <c r="H38" s="19"/>
      <c r="I38" s="19"/>
      <c r="J38" s="19"/>
      <c r="K38" s="19"/>
      <c r="L38" s="19"/>
      <c r="M38" s="16"/>
      <c r="N38" s="19"/>
      <c r="O38" s="16"/>
      <c r="P38" s="19"/>
      <c r="Q38" s="19"/>
      <c r="R38" s="19"/>
      <c r="S38" s="19"/>
      <c r="T38" s="19"/>
      <c r="U38" s="19"/>
      <c r="V38" s="32"/>
      <c r="W38" s="19"/>
      <c r="X38" s="19"/>
      <c r="Z38" s="19"/>
      <c r="AA38" s="19"/>
      <c r="AB38" s="19"/>
      <c r="AD38" s="16"/>
      <c r="AE38" s="19"/>
      <c r="AF38" s="26" t="s">
        <v>67</v>
      </c>
      <c r="AG38" s="21" t="s">
        <v>78</v>
      </c>
    </row>
    <row r="39" spans="6:33" ht="26.4">
      <c r="I39" s="16"/>
      <c r="L39" s="16"/>
      <c r="M39" s="16"/>
      <c r="O39" s="16"/>
      <c r="Q39" s="16"/>
      <c r="U39" s="16"/>
      <c r="V39" s="33"/>
      <c r="X39" s="16"/>
      <c r="Z39" s="16"/>
      <c r="AA39" s="16"/>
      <c r="AB39" s="16"/>
      <c r="AD39" s="16"/>
      <c r="AE39" s="16"/>
      <c r="AF39" s="21" t="s">
        <v>24</v>
      </c>
      <c r="AG39" s="21" t="s">
        <v>78</v>
      </c>
    </row>
    <row r="40" spans="6:33" ht="92.4">
      <c r="I40" s="16"/>
      <c r="L40" s="16"/>
      <c r="Q40" s="16"/>
      <c r="U40" s="16"/>
      <c r="V40" s="33"/>
      <c r="X40" s="16"/>
      <c r="Z40" s="16"/>
      <c r="AA40" s="16"/>
      <c r="AB40" s="16"/>
      <c r="AD40" s="16"/>
      <c r="AE40" s="16"/>
      <c r="AF40" s="21" t="s">
        <v>22</v>
      </c>
      <c r="AG40" s="21" t="s">
        <v>79</v>
      </c>
    </row>
    <row r="41" spans="6:33" ht="24.75" customHeight="1">
      <c r="Q41" s="16"/>
      <c r="U41" s="16"/>
      <c r="V41" s="33"/>
      <c r="X41" s="16"/>
      <c r="Z41" s="16"/>
      <c r="AA41" s="16"/>
      <c r="AB41" s="16"/>
      <c r="AD41" s="16"/>
      <c r="AE41" s="16"/>
      <c r="AF41" s="21" t="s">
        <v>34</v>
      </c>
      <c r="AG41" s="21" t="s">
        <v>77</v>
      </c>
    </row>
    <row r="42" spans="6:33" ht="24.75" customHeight="1">
      <c r="Q42" s="16"/>
      <c r="U42" s="16"/>
      <c r="V42" s="33"/>
      <c r="X42" s="16"/>
      <c r="Z42" s="16"/>
      <c r="AA42" s="16"/>
      <c r="AB42" s="16"/>
      <c r="AD42" s="16"/>
      <c r="AE42" s="16"/>
      <c r="AF42" s="21" t="s">
        <v>59</v>
      </c>
      <c r="AG42" s="21" t="s">
        <v>77</v>
      </c>
    </row>
    <row r="43" spans="6:33" ht="24.75" customHeight="1">
      <c r="Q43" s="16"/>
      <c r="U43" s="16"/>
      <c r="V43" s="33"/>
      <c r="X43" s="16"/>
      <c r="Z43" s="16"/>
      <c r="AA43" s="16"/>
      <c r="AB43" s="16"/>
      <c r="AD43" s="16"/>
      <c r="AE43" s="16"/>
      <c r="AF43" s="21" t="s">
        <v>29</v>
      </c>
      <c r="AG43" s="21" t="s">
        <v>80</v>
      </c>
    </row>
    <row r="44" spans="6:33" ht="24.75" customHeight="1">
      <c r="Z44" s="16"/>
      <c r="AA44" s="16"/>
      <c r="AB44" s="16"/>
      <c r="AE44" s="16"/>
      <c r="AF44" s="21" t="s">
        <v>52</v>
      </c>
      <c r="AG44" s="21" t="s">
        <v>81</v>
      </c>
    </row>
    <row r="45" spans="6:33" ht="24.75" customHeight="1">
      <c r="AF45" s="21" t="s">
        <v>30</v>
      </c>
      <c r="AG45" s="21" t="s">
        <v>72</v>
      </c>
    </row>
    <row r="46" spans="6:33" ht="24.75" customHeight="1">
      <c r="AF46" s="21" t="s">
        <v>58</v>
      </c>
      <c r="AG46" s="21" t="s">
        <v>72</v>
      </c>
    </row>
    <row r="47" spans="6:33" ht="24.75" customHeight="1">
      <c r="AF47" s="26" t="s">
        <v>20</v>
      </c>
      <c r="AG47" s="21" t="s">
        <v>77</v>
      </c>
    </row>
    <row r="48" spans="6:33" ht="24.75" customHeight="1">
      <c r="AF48" s="26" t="s">
        <v>45</v>
      </c>
      <c r="AG48" s="21" t="s">
        <v>77</v>
      </c>
    </row>
    <row r="49" spans="32:33" ht="24.75" customHeight="1">
      <c r="AF49" s="26" t="s">
        <v>32</v>
      </c>
      <c r="AG49" s="21" t="s">
        <v>78</v>
      </c>
    </row>
    <row r="50" spans="32:33" ht="24.75" customHeight="1">
      <c r="AF50" s="26" t="s">
        <v>40</v>
      </c>
      <c r="AG50" s="26" t="s">
        <v>82</v>
      </c>
    </row>
    <row r="51" spans="32:33" ht="24.75" customHeight="1">
      <c r="AF51" s="26" t="s">
        <v>28</v>
      </c>
      <c r="AG51" s="26" t="s">
        <v>83</v>
      </c>
    </row>
    <row r="52" spans="32:33" ht="24.75" customHeight="1">
      <c r="AF52" s="26" t="s">
        <v>27</v>
      </c>
      <c r="AG52" s="21" t="s">
        <v>72</v>
      </c>
    </row>
    <row r="53" spans="32:33" ht="24.75" customHeight="1">
      <c r="AF53" s="26" t="s">
        <v>31</v>
      </c>
      <c r="AG53" s="21" t="s">
        <v>72</v>
      </c>
    </row>
    <row r="54" spans="32:33" ht="24.75" customHeight="1">
      <c r="AF54" s="21" t="s">
        <v>68</v>
      </c>
      <c r="AG54" s="21" t="s">
        <v>72</v>
      </c>
    </row>
    <row r="55" spans="32:33" ht="24.75" customHeight="1">
      <c r="AF55" s="21" t="s">
        <v>69</v>
      </c>
      <c r="AG55" s="21" t="s">
        <v>72</v>
      </c>
    </row>
    <row r="56" spans="32:33" ht="24.75" customHeight="1">
      <c r="AF56" s="26" t="s">
        <v>70</v>
      </c>
      <c r="AG56" s="21" t="s">
        <v>72</v>
      </c>
    </row>
    <row r="57" spans="32:33" ht="24.75" customHeight="1">
      <c r="AF57" s="26" t="s">
        <v>46</v>
      </c>
      <c r="AG57" s="21" t="s">
        <v>72</v>
      </c>
    </row>
    <row r="58" spans="32:33" ht="24.75" customHeight="1">
      <c r="AF58" s="26" t="s">
        <v>47</v>
      </c>
      <c r="AG58" s="21" t="s">
        <v>72</v>
      </c>
    </row>
    <row r="59" spans="32:33" ht="24.75" customHeight="1">
      <c r="AF59" s="26" t="s">
        <v>48</v>
      </c>
      <c r="AG59" s="21" t="s">
        <v>72</v>
      </c>
    </row>
    <row r="60" spans="32:33" ht="24.75" customHeight="1">
      <c r="AF60" s="26" t="s">
        <v>49</v>
      </c>
      <c r="AG60" s="21" t="s">
        <v>72</v>
      </c>
    </row>
    <row r="61" spans="32:33" ht="24.75" customHeight="1">
      <c r="AF61" s="21" t="s">
        <v>71</v>
      </c>
      <c r="AG61" s="21" t="s">
        <v>72</v>
      </c>
    </row>
    <row r="62" spans="32:33" ht="24.75" customHeight="1">
      <c r="AF62" s="21" t="s">
        <v>50</v>
      </c>
      <c r="AG62" s="21" t="s">
        <v>78</v>
      </c>
    </row>
    <row r="63" spans="32:33" ht="24.75" customHeight="1">
      <c r="AF63" s="21" t="s">
        <v>60</v>
      </c>
      <c r="AG63" s="21" t="s">
        <v>72</v>
      </c>
    </row>
  </sheetData>
  <autoFilter ref="C10:AH10"/>
  <dataConsolidate/>
  <mergeCells count="8">
    <mergeCell ref="C8:U8"/>
    <mergeCell ref="X8:AH9"/>
    <mergeCell ref="E4:M4"/>
    <mergeCell ref="E5:M5"/>
    <mergeCell ref="E6:M6"/>
    <mergeCell ref="C4:D4"/>
    <mergeCell ref="C5:D5"/>
    <mergeCell ref="C6:D6"/>
  </mergeCells>
  <dataValidations count="3">
    <dataValidation type="list" allowBlank="1" showInputMessage="1" showErrorMessage="1" sqref="E4:M4">
      <formula1>$BS$4:$BS$9</formula1>
    </dataValidation>
    <dataValidation type="list" allowBlank="1" showInputMessage="1" showErrorMessage="1" sqref="E5:M5">
      <formula1>$BV$4:$BV$13</formula1>
    </dataValidation>
    <dataValidation type="list" allowBlank="1" showInputMessage="1" showErrorMessage="1" sqref="E6:M6">
      <formula1>$BY$4:$BY$7</formula1>
    </dataValidation>
  </dataValidations>
  <hyperlinks>
    <hyperlink ref="I11" location="'B2. HLBR - Registration'!A1" display="'B2. HLBR - Registration'!A1"/>
    <hyperlink ref="I12" location="'B2. HLBR - Registration'!A1" display="'B2. HLBR - Registration'!A1"/>
    <hyperlink ref="I13" location="'B2. HLBR - Registration'!A1" display="'B2. HLBR - Registration'!A1"/>
    <hyperlink ref="I14" location="'B2. HLBR - Registration'!A1" display="'B2. HLBR - Registration'!A1"/>
    <hyperlink ref="I15" location="'B2. HLBR - Registration'!A1" display="'B2. HLBR - Registration'!A1"/>
    <hyperlink ref="I16" location="'B2. HLBR - Registration'!A1" display="'B2. HLBR - Registration'!A1"/>
    <hyperlink ref="I17" location="'B2. HLBR - Registration'!A1" display="'B2. HLBR - Registration'!A1"/>
    <hyperlink ref="M11" location="'B3. HLBR - Assessment'!A1" display="'B3. HLBR - Assessment'!A1"/>
    <hyperlink ref="M12" location="'B3. HLBR - Assessment'!A1" display="'B3. HLBR - Assessment'!A1"/>
    <hyperlink ref="M13" location="'B3. HLBR - Assessment'!A1" display="'B3. HLBR - Assessment'!A1"/>
    <hyperlink ref="M14" location="'B3. HLBR - Assessment'!A1" display="'B3. HLBR - Assessment'!A1"/>
    <hyperlink ref="M15" location="'B3. HLBR - Assessment'!A1" display="'B3. HLBR - Assessment'!A1"/>
    <hyperlink ref="M16" location="'B3. HLBR - Assessment'!A1" display="'B3. HLBR - Assessment'!A1"/>
    <hyperlink ref="M17" location="'B3. HLBR - Assessment'!A1" display="'B3. HLBR - Assessment'!A1"/>
    <hyperlink ref="M18" location="'B3. HLBR - Assessment'!A1" display="'B3. HLBR - Assessment'!A1"/>
    <hyperlink ref="O11" location="'B4. HLBR - Settlement'!A1" display="'B4. HLBR - Settlement'!A1"/>
    <hyperlink ref="O12" location="'B4. HLBR - Settlement'!A1" display="'B4. HLBR - Settlement'!A1"/>
    <hyperlink ref="O13" location="'B4. HLBR - Settlement'!A1" display="'B4. HLBR - Settlement'!A1"/>
    <hyperlink ref="O14" location="'B4. HLBR - Settlement'!A1" display="'B4. HLBR - Settlement'!A1"/>
    <hyperlink ref="O15" location="'B4. HLBR - Settlement'!A1" display="'B4. HLBR - Settlement'!A1"/>
    <hyperlink ref="Q11" location="'B5. HLBR - Fraud'!A1" display="'B5. HLBR - Fraud'!A1"/>
    <hyperlink ref="Q12" location="'B5. HLBR - Fraud'!A1" display="'B5. HLBR - Fraud'!A1"/>
    <hyperlink ref="U11" location="'B6. HLBR - Recovery'!A1" display="'B6. HLBR - Recovery'!A1"/>
    <hyperlink ref="U12" location="'B6. HLBR - Recovery'!A1" display="'B6. HLBR - Recovery'!A1"/>
    <hyperlink ref="U13" location="'B6. HLBR - Recovery'!A1" display="'B6. HLBR - Recovery'!A1"/>
    <hyperlink ref="U14" location="'B6. HLBR - Recovery'!A1" display="'B6. HLBR - Recovery'!A1"/>
    <hyperlink ref="U15" location="'B6. HLBR - Recovery'!A1" display="'B6. HLBR - Recovery'!A1"/>
    <hyperlink ref="U16" location="'B6. HLBR - Recovery'!A1" display="'B6. HLBR - Recovery'!A1"/>
    <hyperlink ref="O16" location="'B1. HLBR - Claims Notification'!Motor_Claims_Data_Capture" display="'B1. HLBR - Claims Notification'!Motor_Claims_Data_Capture"/>
    <hyperlink ref="X11" location="'B7. HLBR - General'!A1" display="'B7. HLBR - General'!A1"/>
    <hyperlink ref="X12" location="'B7. HLBR - General'!A1" display="'B7. HLBR - General'!A1"/>
    <hyperlink ref="X13" location="'B7. HLBR - General'!A1" display="'B7. HLBR - General'!A1"/>
    <hyperlink ref="X14" location="'B7. HLBR - General'!A1" display="'B7. HLBR - General'!A1"/>
    <hyperlink ref="Y11" location="'B7. HLBR - General'!A1" display="'B7. HLBR - General'!A1"/>
    <hyperlink ref="Y12" location="'B7. HLBR - General'!A1" display="'B7. HLBR - General'!A1"/>
    <hyperlink ref="Y13" location="'B7. HLBR - General'!A1" display="'B7. HLBR - General'!A1"/>
    <hyperlink ref="Y14" location="'B7. HLBR - General'!A1" display="'B7. HLBR - General'!A1"/>
    <hyperlink ref="Y15" location="'B7. HLBR - General'!A1" display="'B7. HLBR - General'!A1"/>
    <hyperlink ref="Z11" location="'B7. HLBR - General'!A1" display="'B7. HLBR - General'!A1"/>
    <hyperlink ref="Z12" location="'B7. HLBR - General'!A1" display="'B7. HLBR - General'!A1"/>
    <hyperlink ref="AA11" location="'B7. HLBR - General'!A1" display="'B7. HLBR - General'!A1"/>
    <hyperlink ref="AB11" location="'B7. HLBR - General'!A1" display="'B7. HLBR - General'!A1"/>
    <hyperlink ref="AC11" location="'B7. HLBR - General'!A1" display="'B7. HLBR - General'!A1"/>
    <hyperlink ref="AC12" location="'B7. HLBR - General'!A1" display="'B7. HLBR - General'!A1"/>
    <hyperlink ref="AC13" location="'B7. HLBR - General'!A1" display="'B7. HLBR - General'!A1"/>
    <hyperlink ref="AC14" location="'B7. HLBR - General'!A1" display="'B7. HLBR - General'!A1"/>
    <hyperlink ref="AC15" location="'B7. HLBR - General'!A1" display="'B7. HLBR - General'!A1"/>
    <hyperlink ref="AD11" location="'B7. HLBR - General'!A1" display="'B7. HLBR - General'!A1"/>
    <hyperlink ref="AD12" location="'B7. HLBR - General'!A1" display="'B7. HLBR - General'!A1"/>
    <hyperlink ref="AE11" location="'B7. HLBR - General'!A1" display="'B7. HLBR - General'!A1"/>
    <hyperlink ref="AH11" location="'B7. HLBR - General'!A1" display="'B7. HLBR - General'!A1"/>
    <hyperlink ref="AE12" location="'B7. HLBR - General'!A1" display="'B7. HLBR - General'!A1"/>
    <hyperlink ref="M19" location="'B3. HLBR - Assessment'!A1" display="'B3. HLBR - Assessment'!A1"/>
    <hyperlink ref="E13" location="'B1. HLBR - Claims Submission'!Claims_Data_Capture" display="'B1. HLBR - Claims Submission'!Claims_Data_Capture"/>
    <hyperlink ref="E14" location="'B1. HLBR - Claims Submission'!Claims_Data_Capture" display="'B1. HLBR - Claims Submission'!Claims_Data_Capture"/>
    <hyperlink ref="E15" location="'B1. HLBR - Claims Submission'!Claims_Data_Capture" display="'B1. HLBR - Claims Submission'!Claims_Data_Capture"/>
    <hyperlink ref="C12" location="'B2. HLBR - Registration'!A1" display="'B2. HLBR - Registration'!A1"/>
    <hyperlink ref="C13" location="'B2. HLBR - Registration'!A1" display="'B2. HLBR - Registration'!A1"/>
    <hyperlink ref="C14" location="'B2. HLBR - Registration'!A1" display="'B2. HLBR - Registration'!A1"/>
    <hyperlink ref="C15" location="'B2. HLBR - Registration'!A1" display="'B2. HLBR - Registration'!A1"/>
    <hyperlink ref="C16" location="'B2. HLBR - Registration'!A1" display="'B2. HLBR - Registration'!A1"/>
    <hyperlink ref="M20" location="'B3. HLBR - Assessment'!A1" display="'B3. HLBR - Assessment'!A1"/>
    <hyperlink ref="AD13" location="'B7. HLBR - General'!A1" display="'B7. HLBR - General'!A1"/>
    <hyperlink ref="AC16" location="'B7. HLBR - General'!A1" display="'B7. HLBR - General'!A1"/>
    <hyperlink ref="M21" location="'B3. HLBR - Assessment'!A1" display="'B3. HLBR - Assessment'!A1"/>
    <hyperlink ref="Y16" location="'B7. HLBR - General'!A1" display="'B7. HLBR - General'!A1"/>
    <hyperlink ref="E16" location="'B1. HLBR - Claims Submission'!Claims_Data_Capture" display="'B1. HLBR - Claims Submission'!Claims_Data_Capture"/>
    <hyperlink ref="Y17" location="'B7. HLBR - General'!A1" display="'B7. HLBR - General'!A1"/>
    <hyperlink ref="Q13" location="'B5. HLBR - Fraud'!A1" display="'B5. HLBR - Fraud'!A1"/>
    <hyperlink ref="C11" location="'B2. HLBR - Registration'!A1" display="'B2. HLBR - Registration'!A1"/>
    <hyperlink ref="E11" location="'B1. HLBR - Claims Submission'!Claims_Data_Capture" display="'B1. HLBR - Claims Submission'!Claims_Data_Capture"/>
    <hyperlink ref="E12" location="'B1. HLBR - Claims Submission'!Claims_Data_Capture" display="'B1. HLBR - Claims Submission'!Claims_Data_Capture"/>
    <hyperlink ref="I18" location="'B2. HLBR - Registration'!A1" display="'B2. HLBR - Registration'!A1"/>
  </hyperlinks>
  <pageMargins left="0.74803149606299213" right="0.74803149606299213" top="0.98425196850393704" bottom="0.98425196850393704" header="0.51181102362204722" footer="0.51181102362204722"/>
  <pageSetup paperSize="9" orientation="portrait" horizontalDpi="300" verticalDpi="300" r:id="rId1"/>
  <headerFooter alignWithMargins="0">
    <oddHeader>&amp;F</oddHead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U172"/>
  <sheetViews>
    <sheetView tabSelected="1" workbookViewId="0">
      <selection activeCell="B1" sqref="B1:B2"/>
    </sheetView>
  </sheetViews>
  <sheetFormatPr defaultColWidth="8.88671875" defaultRowHeight="14.4"/>
  <cols>
    <col min="1" max="1" width="3.109375" style="5" customWidth="1"/>
    <col min="2" max="2" width="10.5546875" style="5" customWidth="1"/>
    <col min="3" max="3" width="11.33203125" style="5" customWidth="1"/>
    <col min="4" max="4" width="12" style="5" customWidth="1"/>
    <col min="5" max="5" width="0" style="5" hidden="1" customWidth="1"/>
    <col min="6" max="6" width="13.6640625" style="5" customWidth="1"/>
    <col min="7" max="7" width="62.5546875" style="5" customWidth="1"/>
    <col min="8" max="9" width="14.5546875" style="5" customWidth="1"/>
    <col min="10" max="10" width="15.109375" style="5" customWidth="1"/>
    <col min="11" max="11" width="17.88671875" style="5" customWidth="1"/>
    <col min="12" max="12" width="18.109375" style="5" customWidth="1"/>
    <col min="13" max="14" width="22.88671875" style="5" customWidth="1"/>
    <col min="15" max="16384" width="8.88671875" style="5"/>
  </cols>
  <sheetData>
    <row r="1" spans="1:15" ht="17.25" customHeight="1">
      <c r="A1" s="157"/>
      <c r="B1" s="159" t="s">
        <v>0</v>
      </c>
      <c r="C1" s="159" t="s">
        <v>1</v>
      </c>
      <c r="D1" s="159" t="s">
        <v>23</v>
      </c>
      <c r="E1" s="132"/>
      <c r="F1" s="131"/>
      <c r="G1" s="161" t="s">
        <v>10</v>
      </c>
      <c r="H1" s="159" t="s">
        <v>150</v>
      </c>
      <c r="I1" s="159" t="s">
        <v>149</v>
      </c>
      <c r="J1" s="159" t="s">
        <v>8</v>
      </c>
      <c r="K1" s="49" t="s">
        <v>84</v>
      </c>
      <c r="L1" s="165" t="s">
        <v>301</v>
      </c>
      <c r="M1" s="164" t="s">
        <v>823</v>
      </c>
      <c r="N1" s="164" t="s">
        <v>824</v>
      </c>
      <c r="O1" s="163"/>
    </row>
    <row r="2" spans="1:15" ht="23.25" customHeight="1">
      <c r="A2" s="158"/>
      <c r="B2" s="160"/>
      <c r="C2" s="160"/>
      <c r="D2" s="160"/>
      <c r="E2" s="133"/>
      <c r="F2" s="134" t="s">
        <v>9</v>
      </c>
      <c r="G2" s="162"/>
      <c r="H2" s="160"/>
      <c r="I2" s="160"/>
      <c r="J2" s="160"/>
      <c r="K2" s="48" t="s">
        <v>11</v>
      </c>
      <c r="L2" s="165"/>
      <c r="M2" s="164"/>
      <c r="N2" s="164"/>
      <c r="O2" s="163"/>
    </row>
    <row r="3" spans="1:15" ht="191.25" customHeight="1">
      <c r="A3" s="36"/>
      <c r="B3" s="9" t="s">
        <v>107</v>
      </c>
      <c r="C3" s="9" t="s">
        <v>383</v>
      </c>
      <c r="D3" s="9" t="s">
        <v>102</v>
      </c>
      <c r="E3" s="9" t="s">
        <v>697</v>
      </c>
      <c r="F3" s="9" t="s">
        <v>320</v>
      </c>
      <c r="G3" s="38" t="s">
        <v>430</v>
      </c>
      <c r="H3" s="9" t="s">
        <v>256</v>
      </c>
      <c r="I3" s="9" t="s">
        <v>213</v>
      </c>
      <c r="J3" s="9" t="s">
        <v>107</v>
      </c>
      <c r="K3" s="9"/>
      <c r="L3" s="38" t="s">
        <v>296</v>
      </c>
      <c r="M3" s="125"/>
      <c r="N3" s="125"/>
      <c r="O3" s="138"/>
    </row>
    <row r="4" spans="1:15" ht="193.8">
      <c r="A4" s="36"/>
      <c r="B4" s="9" t="s">
        <v>107</v>
      </c>
      <c r="C4" s="9" t="s">
        <v>383</v>
      </c>
      <c r="D4" s="9" t="s">
        <v>102</v>
      </c>
      <c r="E4" s="9" t="s">
        <v>697</v>
      </c>
      <c r="F4" s="9" t="s">
        <v>321</v>
      </c>
      <c r="G4" s="97" t="s">
        <v>528</v>
      </c>
      <c r="H4" s="9" t="s">
        <v>256</v>
      </c>
      <c r="I4" s="9" t="s">
        <v>15</v>
      </c>
      <c r="J4" s="9" t="s">
        <v>107</v>
      </c>
      <c r="K4" s="9"/>
      <c r="L4" s="38" t="s">
        <v>296</v>
      </c>
      <c r="M4" s="125"/>
      <c r="N4" s="125"/>
      <c r="O4" s="138"/>
    </row>
    <row r="5" spans="1:15" ht="126.75" customHeight="1">
      <c r="A5" s="36"/>
      <c r="B5" s="9" t="s">
        <v>107</v>
      </c>
      <c r="C5" s="9" t="s">
        <v>383</v>
      </c>
      <c r="D5" s="9" t="s">
        <v>102</v>
      </c>
      <c r="E5" s="9" t="s">
        <v>697</v>
      </c>
      <c r="F5" s="9" t="s">
        <v>322</v>
      </c>
      <c r="G5" s="38" t="s">
        <v>384</v>
      </c>
      <c r="H5" s="9" t="s">
        <v>256</v>
      </c>
      <c r="I5" s="9" t="s">
        <v>15</v>
      </c>
      <c r="J5" s="9"/>
      <c r="K5" s="9"/>
      <c r="L5" s="38"/>
      <c r="M5" s="125"/>
      <c r="N5" s="125"/>
      <c r="O5" s="138"/>
    </row>
    <row r="6" spans="1:15" ht="163.19999999999999">
      <c r="A6" s="36"/>
      <c r="B6" s="9" t="s">
        <v>107</v>
      </c>
      <c r="C6" s="9" t="s">
        <v>383</v>
      </c>
      <c r="D6" s="9" t="s">
        <v>102</v>
      </c>
      <c r="E6" s="9" t="s">
        <v>697</v>
      </c>
      <c r="F6" s="9" t="s">
        <v>323</v>
      </c>
      <c r="G6" s="38" t="s">
        <v>366</v>
      </c>
      <c r="H6" s="9" t="s">
        <v>126</v>
      </c>
      <c r="I6" s="9" t="s">
        <v>15</v>
      </c>
      <c r="J6" s="9"/>
      <c r="K6" s="9"/>
      <c r="L6" s="38" t="s">
        <v>302</v>
      </c>
      <c r="M6" s="125"/>
      <c r="N6" s="125"/>
      <c r="O6" s="138"/>
    </row>
    <row r="7" spans="1:15" ht="146.25" customHeight="1">
      <c r="A7" s="36"/>
      <c r="B7" s="9" t="s">
        <v>107</v>
      </c>
      <c r="C7" s="9" t="s">
        <v>348</v>
      </c>
      <c r="D7" s="9" t="s">
        <v>102</v>
      </c>
      <c r="E7" s="9" t="s">
        <v>698</v>
      </c>
      <c r="F7" s="9" t="s">
        <v>324</v>
      </c>
      <c r="G7" s="97" t="s">
        <v>525</v>
      </c>
      <c r="H7" s="9" t="s">
        <v>126</v>
      </c>
      <c r="I7" s="9" t="s">
        <v>15</v>
      </c>
      <c r="J7" s="9"/>
      <c r="K7" s="22"/>
      <c r="L7" s="38"/>
      <c r="M7" s="125"/>
      <c r="N7" s="125"/>
      <c r="O7" s="138"/>
    </row>
    <row r="8" spans="1:15" ht="122.25" customHeight="1">
      <c r="A8" s="36"/>
      <c r="B8" s="9" t="s">
        <v>107</v>
      </c>
      <c r="C8" s="9" t="s">
        <v>383</v>
      </c>
      <c r="D8" s="9" t="s">
        <v>102</v>
      </c>
      <c r="E8" s="9" t="s">
        <v>697</v>
      </c>
      <c r="F8" s="9" t="s">
        <v>325</v>
      </c>
      <c r="G8" s="46" t="s">
        <v>361</v>
      </c>
      <c r="H8" s="9"/>
      <c r="I8" s="9" t="s">
        <v>15</v>
      </c>
      <c r="J8" s="9"/>
      <c r="K8" s="9"/>
      <c r="L8" s="38" t="s">
        <v>296</v>
      </c>
      <c r="M8" s="125"/>
      <c r="N8" s="125"/>
      <c r="O8" s="138"/>
    </row>
    <row r="9" spans="1:15" s="34" customFormat="1" ht="326.39999999999998">
      <c r="A9" s="36"/>
      <c r="B9" s="9" t="s">
        <v>107</v>
      </c>
      <c r="C9" s="9" t="s">
        <v>385</v>
      </c>
      <c r="D9" s="9" t="s">
        <v>102</v>
      </c>
      <c r="E9" s="9" t="s">
        <v>679</v>
      </c>
      <c r="F9" s="9" t="s">
        <v>326</v>
      </c>
      <c r="G9" s="97" t="s">
        <v>622</v>
      </c>
      <c r="H9" s="9" t="s">
        <v>126</v>
      </c>
      <c r="I9" s="9" t="s">
        <v>15</v>
      </c>
      <c r="J9" s="9"/>
      <c r="K9" s="22"/>
      <c r="L9" s="38"/>
      <c r="M9" s="136"/>
      <c r="N9" s="136"/>
      <c r="O9" s="139"/>
    </row>
    <row r="10" spans="1:15" ht="163.5" customHeight="1">
      <c r="A10" s="36"/>
      <c r="B10" s="9" t="s">
        <v>107</v>
      </c>
      <c r="C10" s="9" t="s">
        <v>385</v>
      </c>
      <c r="D10" s="9" t="s">
        <v>102</v>
      </c>
      <c r="E10" s="9" t="s">
        <v>679</v>
      </c>
      <c r="F10" s="9" t="s">
        <v>327</v>
      </c>
      <c r="G10" s="97" t="s">
        <v>356</v>
      </c>
      <c r="H10" s="9" t="s">
        <v>357</v>
      </c>
      <c r="I10" s="9" t="s">
        <v>15</v>
      </c>
      <c r="J10" s="9"/>
      <c r="K10" s="22"/>
      <c r="L10" s="38" t="s">
        <v>302</v>
      </c>
      <c r="M10" s="125"/>
      <c r="N10" s="125"/>
      <c r="O10" s="138"/>
    </row>
    <row r="11" spans="1:15" ht="247.5" customHeight="1">
      <c r="A11" s="36"/>
      <c r="B11" s="9" t="s">
        <v>107</v>
      </c>
      <c r="C11" s="9" t="s">
        <v>385</v>
      </c>
      <c r="D11" s="9" t="s">
        <v>102</v>
      </c>
      <c r="E11" s="9" t="s">
        <v>679</v>
      </c>
      <c r="F11" s="9" t="s">
        <v>328</v>
      </c>
      <c r="G11" s="97" t="s">
        <v>358</v>
      </c>
      <c r="H11" s="9"/>
      <c r="I11" s="9" t="s">
        <v>15</v>
      </c>
      <c r="J11" s="9"/>
      <c r="K11" s="9"/>
      <c r="L11" s="38" t="s">
        <v>302</v>
      </c>
      <c r="M11" s="125"/>
      <c r="N11" s="125"/>
      <c r="O11" s="138"/>
    </row>
    <row r="12" spans="1:15" ht="125.25" customHeight="1">
      <c r="A12" s="36"/>
      <c r="B12" s="9" t="s">
        <v>107</v>
      </c>
      <c r="C12" s="9" t="s">
        <v>386</v>
      </c>
      <c r="D12" s="9" t="s">
        <v>102</v>
      </c>
      <c r="E12" s="9" t="s">
        <v>699</v>
      </c>
      <c r="F12" s="9" t="s">
        <v>329</v>
      </c>
      <c r="G12" s="97" t="s">
        <v>371</v>
      </c>
      <c r="H12" s="9"/>
      <c r="I12" s="9" t="s">
        <v>15</v>
      </c>
      <c r="J12" s="9"/>
      <c r="K12" s="9"/>
      <c r="L12" s="38" t="s">
        <v>302</v>
      </c>
      <c r="M12" s="125"/>
      <c r="N12" s="125"/>
      <c r="O12" s="138"/>
    </row>
    <row r="13" spans="1:15" ht="112.2">
      <c r="A13" s="36"/>
      <c r="B13" s="9" t="s">
        <v>107</v>
      </c>
      <c r="C13" s="9" t="s">
        <v>386</v>
      </c>
      <c r="D13" s="9" t="s">
        <v>102</v>
      </c>
      <c r="E13" s="9" t="s">
        <v>699</v>
      </c>
      <c r="F13" s="9" t="s">
        <v>330</v>
      </c>
      <c r="G13" s="97" t="s">
        <v>359</v>
      </c>
      <c r="H13" s="9"/>
      <c r="I13" s="9" t="s">
        <v>15</v>
      </c>
      <c r="J13" s="9"/>
      <c r="K13" s="9"/>
      <c r="L13" s="38" t="s">
        <v>302</v>
      </c>
      <c r="M13" s="125"/>
      <c r="N13" s="125"/>
      <c r="O13" s="138"/>
    </row>
    <row r="14" spans="1:15" ht="81.599999999999994">
      <c r="A14" s="36"/>
      <c r="B14" s="9" t="s">
        <v>107</v>
      </c>
      <c r="C14" s="22" t="s">
        <v>386</v>
      </c>
      <c r="D14" s="9" t="s">
        <v>102</v>
      </c>
      <c r="E14" s="9" t="s">
        <v>699</v>
      </c>
      <c r="F14" s="9" t="s">
        <v>331</v>
      </c>
      <c r="G14" s="97" t="s">
        <v>360</v>
      </c>
      <c r="H14" s="9"/>
      <c r="I14" s="9" t="s">
        <v>15</v>
      </c>
      <c r="J14" s="9"/>
      <c r="K14" s="91"/>
      <c r="L14" s="38" t="s">
        <v>296</v>
      </c>
      <c r="M14" s="125"/>
      <c r="N14" s="125"/>
      <c r="O14" s="138"/>
    </row>
    <row r="15" spans="1:15" ht="337.5" customHeight="1">
      <c r="A15" s="36"/>
      <c r="B15" s="9" t="s">
        <v>107</v>
      </c>
      <c r="C15" s="22" t="s">
        <v>367</v>
      </c>
      <c r="D15" s="9" t="s">
        <v>102</v>
      </c>
      <c r="E15" s="9" t="s">
        <v>680</v>
      </c>
      <c r="F15" s="9" t="s">
        <v>332</v>
      </c>
      <c r="G15" s="112" t="s">
        <v>368</v>
      </c>
      <c r="H15" s="9"/>
      <c r="I15" s="9" t="s">
        <v>15</v>
      </c>
      <c r="J15" s="9"/>
      <c r="K15" s="9"/>
      <c r="L15" s="38" t="s">
        <v>302</v>
      </c>
      <c r="M15" s="125"/>
      <c r="N15" s="125"/>
      <c r="O15" s="138"/>
    </row>
    <row r="16" spans="1:15" ht="102">
      <c r="A16" s="36"/>
      <c r="B16" s="9" t="s">
        <v>107</v>
      </c>
      <c r="C16" s="22" t="s">
        <v>367</v>
      </c>
      <c r="D16" s="9" t="s">
        <v>102</v>
      </c>
      <c r="E16" s="9" t="s">
        <v>680</v>
      </c>
      <c r="F16" s="9" t="s">
        <v>333</v>
      </c>
      <c r="G16" s="114" t="s">
        <v>369</v>
      </c>
      <c r="H16" s="9"/>
      <c r="I16" s="9" t="s">
        <v>15</v>
      </c>
      <c r="J16" s="9"/>
      <c r="K16" s="9"/>
      <c r="L16" s="38"/>
      <c r="M16" s="125"/>
      <c r="N16" s="125"/>
      <c r="O16" s="138"/>
    </row>
    <row r="17" spans="1:15" ht="265.2">
      <c r="A17" s="36"/>
      <c r="B17" s="9" t="s">
        <v>107</v>
      </c>
      <c r="C17" s="22" t="s">
        <v>367</v>
      </c>
      <c r="D17" s="9" t="s">
        <v>102</v>
      </c>
      <c r="E17" s="9" t="s">
        <v>680</v>
      </c>
      <c r="F17" s="9" t="s">
        <v>334</v>
      </c>
      <c r="G17" s="113" t="s">
        <v>372</v>
      </c>
      <c r="H17" s="9"/>
      <c r="I17" s="9" t="s">
        <v>15</v>
      </c>
      <c r="J17" s="9"/>
      <c r="K17" s="9"/>
      <c r="L17" s="38" t="s">
        <v>296</v>
      </c>
      <c r="M17" s="125"/>
      <c r="N17" s="125"/>
      <c r="O17" s="138"/>
    </row>
    <row r="18" spans="1:15" s="40" customFormat="1" ht="202.5" customHeight="1">
      <c r="A18" s="36"/>
      <c r="B18" s="9" t="s">
        <v>107</v>
      </c>
      <c r="C18" s="9" t="s">
        <v>348</v>
      </c>
      <c r="D18" s="9" t="s">
        <v>102</v>
      </c>
      <c r="E18" s="9" t="s">
        <v>698</v>
      </c>
      <c r="F18" s="9" t="s">
        <v>335</v>
      </c>
      <c r="G18" s="115" t="s">
        <v>373</v>
      </c>
      <c r="H18" s="9"/>
      <c r="I18" s="9" t="s">
        <v>15</v>
      </c>
      <c r="J18" s="9"/>
      <c r="K18" s="9"/>
      <c r="L18" s="38"/>
      <c r="M18" s="137"/>
      <c r="N18" s="137"/>
      <c r="O18" s="140"/>
    </row>
    <row r="19" spans="1:15" s="40" customFormat="1" ht="183.6">
      <c r="A19" s="36"/>
      <c r="B19" s="9" t="s">
        <v>107</v>
      </c>
      <c r="C19" s="22" t="s">
        <v>386</v>
      </c>
      <c r="D19" s="9" t="s">
        <v>102</v>
      </c>
      <c r="E19" s="9" t="s">
        <v>699</v>
      </c>
      <c r="F19" s="9" t="s">
        <v>336</v>
      </c>
      <c r="G19" s="115" t="s">
        <v>370</v>
      </c>
      <c r="H19" s="9"/>
      <c r="I19" s="9" t="s">
        <v>15</v>
      </c>
      <c r="J19" s="9"/>
      <c r="K19" s="9"/>
      <c r="L19" s="38"/>
      <c r="M19" s="137"/>
      <c r="N19" s="137"/>
      <c r="O19" s="140"/>
    </row>
    <row r="20" spans="1:15" ht="62.4">
      <c r="A20" s="36"/>
      <c r="B20" s="9" t="s">
        <v>107</v>
      </c>
      <c r="C20" s="22" t="s">
        <v>367</v>
      </c>
      <c r="D20" s="9" t="s">
        <v>102</v>
      </c>
      <c r="E20" s="9" t="s">
        <v>680</v>
      </c>
      <c r="F20" s="9" t="s">
        <v>337</v>
      </c>
      <c r="G20" s="116" t="s">
        <v>374</v>
      </c>
      <c r="H20" s="9"/>
      <c r="I20" s="9" t="s">
        <v>15</v>
      </c>
      <c r="J20" s="9"/>
      <c r="K20" s="9"/>
      <c r="L20" s="38" t="s">
        <v>296</v>
      </c>
      <c r="M20" s="125"/>
      <c r="N20" s="125"/>
      <c r="O20" s="138"/>
    </row>
    <row r="21" spans="1:15" s="40" customFormat="1" ht="99.75" customHeight="1">
      <c r="A21" s="36"/>
      <c r="B21" s="9" t="s">
        <v>107</v>
      </c>
      <c r="C21" s="22" t="s">
        <v>367</v>
      </c>
      <c r="D21" s="9" t="s">
        <v>102</v>
      </c>
      <c r="E21" s="9" t="s">
        <v>680</v>
      </c>
      <c r="F21" s="9" t="s">
        <v>338</v>
      </c>
      <c r="G21" s="116" t="s">
        <v>375</v>
      </c>
      <c r="H21" s="9"/>
      <c r="I21" s="9" t="s">
        <v>15</v>
      </c>
      <c r="J21" s="9"/>
      <c r="K21" s="38"/>
      <c r="L21" s="38" t="s">
        <v>296</v>
      </c>
      <c r="M21" s="137"/>
      <c r="N21" s="137"/>
      <c r="O21" s="140"/>
    </row>
    <row r="22" spans="1:15" s="40" customFormat="1" ht="58.5" customHeight="1">
      <c r="A22" s="36"/>
      <c r="B22" s="9" t="s">
        <v>107</v>
      </c>
      <c r="C22" s="22" t="s">
        <v>367</v>
      </c>
      <c r="D22" s="9" t="s">
        <v>102</v>
      </c>
      <c r="E22" s="9" t="s">
        <v>680</v>
      </c>
      <c r="F22" s="9" t="s">
        <v>339</v>
      </c>
      <c r="G22" s="117" t="s">
        <v>376</v>
      </c>
      <c r="H22" s="9"/>
      <c r="I22" s="9" t="s">
        <v>15</v>
      </c>
      <c r="J22" s="9"/>
      <c r="K22" s="38"/>
      <c r="L22" s="38"/>
      <c r="M22" s="137"/>
      <c r="N22" s="137"/>
      <c r="O22" s="140"/>
    </row>
    <row r="23" spans="1:15" ht="103.5" customHeight="1">
      <c r="A23" s="36"/>
      <c r="B23" s="9" t="s">
        <v>107</v>
      </c>
      <c r="C23" s="22" t="s">
        <v>367</v>
      </c>
      <c r="D23" s="9" t="s">
        <v>102</v>
      </c>
      <c r="E23" s="9" t="s">
        <v>680</v>
      </c>
      <c r="F23" s="9" t="s">
        <v>340</v>
      </c>
      <c r="G23" s="8" t="s">
        <v>377</v>
      </c>
      <c r="H23" s="9"/>
      <c r="I23" s="9" t="s">
        <v>15</v>
      </c>
      <c r="J23" s="9"/>
      <c r="K23" s="9"/>
      <c r="L23" s="38"/>
      <c r="M23" s="125"/>
      <c r="N23" s="125"/>
      <c r="O23" s="138"/>
    </row>
    <row r="24" spans="1:15" ht="90" customHeight="1">
      <c r="A24" s="36"/>
      <c r="B24" s="9" t="s">
        <v>107</v>
      </c>
      <c r="C24" s="22" t="s">
        <v>386</v>
      </c>
      <c r="D24" s="9" t="s">
        <v>102</v>
      </c>
      <c r="E24" s="9" t="s">
        <v>699</v>
      </c>
      <c r="F24" s="9" t="s">
        <v>341</v>
      </c>
      <c r="G24" s="38" t="s">
        <v>378</v>
      </c>
      <c r="H24" s="9"/>
      <c r="I24" s="9" t="s">
        <v>15</v>
      </c>
      <c r="J24" s="9"/>
      <c r="K24" s="91"/>
      <c r="L24" s="38" t="s">
        <v>296</v>
      </c>
      <c r="M24" s="125"/>
      <c r="N24" s="125"/>
      <c r="O24" s="138"/>
    </row>
    <row r="25" spans="1:15" ht="63.75" customHeight="1">
      <c r="A25" s="36"/>
      <c r="B25" s="9" t="s">
        <v>107</v>
      </c>
      <c r="C25" s="22" t="s">
        <v>367</v>
      </c>
      <c r="D25" s="9" t="s">
        <v>102</v>
      </c>
      <c r="E25" s="9" t="s">
        <v>680</v>
      </c>
      <c r="F25" s="9" t="s">
        <v>342</v>
      </c>
      <c r="G25" s="38" t="s">
        <v>379</v>
      </c>
      <c r="H25" s="9"/>
      <c r="I25" s="9" t="s">
        <v>15</v>
      </c>
      <c r="J25" s="9"/>
      <c r="K25" s="91"/>
      <c r="L25" s="6"/>
      <c r="M25" s="125"/>
      <c r="N25" s="125"/>
      <c r="O25" s="138"/>
    </row>
    <row r="26" spans="1:15" ht="69.75" customHeight="1">
      <c r="A26" s="36"/>
      <c r="B26" s="9" t="s">
        <v>107</v>
      </c>
      <c r="C26" s="22" t="s">
        <v>367</v>
      </c>
      <c r="D26" s="9" t="s">
        <v>102</v>
      </c>
      <c r="E26" s="119" t="s">
        <v>680</v>
      </c>
      <c r="F26" s="9" t="s">
        <v>362</v>
      </c>
      <c r="G26" s="118" t="s">
        <v>380</v>
      </c>
      <c r="H26" s="9"/>
      <c r="I26" s="9" t="s">
        <v>15</v>
      </c>
      <c r="J26" s="9"/>
      <c r="K26" s="91"/>
      <c r="L26" s="6"/>
      <c r="M26" s="125"/>
      <c r="N26" s="125"/>
      <c r="O26" s="138"/>
    </row>
    <row r="27" spans="1:15" ht="64.5" customHeight="1">
      <c r="A27" s="36"/>
      <c r="B27" s="9" t="s">
        <v>107</v>
      </c>
      <c r="C27" s="22" t="s">
        <v>367</v>
      </c>
      <c r="D27" s="9" t="s">
        <v>102</v>
      </c>
      <c r="E27" s="119" t="s">
        <v>680</v>
      </c>
      <c r="F27" s="9" t="s">
        <v>363</v>
      </c>
      <c r="G27" s="38" t="s">
        <v>381</v>
      </c>
      <c r="H27" s="9"/>
      <c r="I27" s="9" t="s">
        <v>15</v>
      </c>
      <c r="J27" s="9"/>
      <c r="K27" s="91"/>
      <c r="L27" s="6"/>
      <c r="M27" s="125"/>
      <c r="N27" s="125"/>
      <c r="O27" s="138"/>
    </row>
    <row r="28" spans="1:15" ht="174.75" customHeight="1">
      <c r="A28" s="36"/>
      <c r="B28" s="9" t="s">
        <v>107</v>
      </c>
      <c r="C28" s="22" t="s">
        <v>348</v>
      </c>
      <c r="D28" s="9" t="s">
        <v>102</v>
      </c>
      <c r="E28" s="119" t="s">
        <v>698</v>
      </c>
      <c r="F28" s="9" t="s">
        <v>364</v>
      </c>
      <c r="G28" s="116" t="s">
        <v>514</v>
      </c>
      <c r="H28" s="9"/>
      <c r="I28" s="9" t="s">
        <v>15</v>
      </c>
      <c r="J28" s="9"/>
      <c r="K28" s="91"/>
      <c r="L28" s="6"/>
      <c r="M28" s="125"/>
      <c r="N28" s="125"/>
      <c r="O28" s="138"/>
    </row>
    <row r="29" spans="1:15" ht="258.75" customHeight="1">
      <c r="A29" s="36"/>
      <c r="B29" s="9" t="s">
        <v>107</v>
      </c>
      <c r="C29" s="22" t="s">
        <v>387</v>
      </c>
      <c r="D29" s="9" t="s">
        <v>102</v>
      </c>
      <c r="E29" s="119" t="s">
        <v>700</v>
      </c>
      <c r="F29" s="9" t="s">
        <v>365</v>
      </c>
      <c r="G29" s="9" t="s">
        <v>532</v>
      </c>
      <c r="H29" s="9"/>
      <c r="I29" s="9" t="s">
        <v>15</v>
      </c>
      <c r="J29" s="9"/>
      <c r="K29" s="91"/>
      <c r="L29" s="6"/>
      <c r="M29" s="125"/>
      <c r="N29" s="125"/>
      <c r="O29" s="138"/>
    </row>
    <row r="30" spans="1:15" ht="81.599999999999994">
      <c r="A30" s="36"/>
      <c r="B30" s="9" t="s">
        <v>107</v>
      </c>
      <c r="C30" s="22" t="s">
        <v>387</v>
      </c>
      <c r="D30" s="9" t="s">
        <v>102</v>
      </c>
      <c r="E30" s="119" t="s">
        <v>700</v>
      </c>
      <c r="F30" s="9" t="s">
        <v>502</v>
      </c>
      <c r="G30" s="9" t="s">
        <v>516</v>
      </c>
      <c r="H30" s="9"/>
      <c r="I30" s="9" t="s">
        <v>15</v>
      </c>
      <c r="J30" s="9"/>
      <c r="K30" s="91"/>
      <c r="L30" s="6"/>
      <c r="M30" s="125"/>
      <c r="N30" s="125"/>
      <c r="O30" s="138"/>
    </row>
    <row r="31" spans="1:15" ht="133.80000000000001">
      <c r="A31" s="36"/>
      <c r="B31" s="9" t="s">
        <v>107</v>
      </c>
      <c r="C31" s="22" t="s">
        <v>348</v>
      </c>
      <c r="D31" s="9" t="s">
        <v>102</v>
      </c>
      <c r="E31" s="119" t="s">
        <v>698</v>
      </c>
      <c r="F31" s="9" t="s">
        <v>515</v>
      </c>
      <c r="G31" s="124" t="s">
        <v>618</v>
      </c>
      <c r="H31" s="9"/>
      <c r="I31" s="9" t="s">
        <v>15</v>
      </c>
      <c r="J31" s="9"/>
      <c r="K31" s="91"/>
      <c r="L31" s="6"/>
      <c r="M31" s="125"/>
      <c r="N31" s="125"/>
      <c r="O31" s="138"/>
    </row>
    <row r="32" spans="1:15" ht="150.75" customHeight="1">
      <c r="A32" s="36"/>
      <c r="B32" s="9" t="s">
        <v>107</v>
      </c>
      <c r="C32" s="22" t="s">
        <v>367</v>
      </c>
      <c r="D32" s="9" t="s">
        <v>102</v>
      </c>
      <c r="E32" s="119" t="s">
        <v>680</v>
      </c>
      <c r="F32" s="9" t="s">
        <v>619</v>
      </c>
      <c r="G32" s="38" t="s">
        <v>620</v>
      </c>
      <c r="H32" s="9"/>
      <c r="I32" s="9" t="s">
        <v>15</v>
      </c>
      <c r="J32" s="9"/>
      <c r="K32" s="91"/>
      <c r="L32" s="6"/>
      <c r="M32" s="125"/>
      <c r="N32" s="125"/>
      <c r="O32" s="138"/>
    </row>
    <row r="33" spans="1:15" s="34" customFormat="1" ht="101.25" customHeight="1">
      <c r="A33" s="36"/>
      <c r="B33" s="9" t="s">
        <v>107</v>
      </c>
      <c r="C33" s="9" t="s">
        <v>385</v>
      </c>
      <c r="D33" s="9" t="s">
        <v>102</v>
      </c>
      <c r="E33" s="9" t="s">
        <v>679</v>
      </c>
      <c r="F33" s="9" t="s">
        <v>625</v>
      </c>
      <c r="G33" s="97" t="s">
        <v>621</v>
      </c>
      <c r="H33" s="9" t="s">
        <v>126</v>
      </c>
      <c r="I33" s="9" t="s">
        <v>15</v>
      </c>
      <c r="J33" s="9"/>
      <c r="K33" s="22"/>
      <c r="L33" s="38"/>
      <c r="M33" s="136"/>
      <c r="N33" s="136"/>
      <c r="O33" s="139"/>
    </row>
    <row r="34" spans="1:15" ht="81.599999999999994">
      <c r="A34" s="36"/>
      <c r="B34" s="9" t="s">
        <v>107</v>
      </c>
      <c r="C34" s="9" t="s">
        <v>623</v>
      </c>
      <c r="D34" s="9" t="s">
        <v>102</v>
      </c>
      <c r="E34" s="9" t="s">
        <v>683</v>
      </c>
      <c r="F34" s="9" t="s">
        <v>626</v>
      </c>
      <c r="G34" s="97" t="s">
        <v>624</v>
      </c>
      <c r="H34" s="9" t="s">
        <v>126</v>
      </c>
      <c r="I34" s="9" t="s">
        <v>15</v>
      </c>
      <c r="J34" s="9"/>
      <c r="K34" s="22"/>
      <c r="L34" s="38"/>
      <c r="M34" s="125"/>
      <c r="N34" s="125"/>
      <c r="O34" s="138"/>
    </row>
    <row r="35" spans="1:15" ht="171" customHeight="1">
      <c r="A35" s="36"/>
      <c r="B35" s="9" t="s">
        <v>305</v>
      </c>
      <c r="C35" s="9" t="s">
        <v>14</v>
      </c>
      <c r="D35" s="9" t="s">
        <v>102</v>
      </c>
      <c r="E35" s="9" t="s">
        <v>701</v>
      </c>
      <c r="F35" s="9" t="s">
        <v>181</v>
      </c>
      <c r="G35" s="38" t="s">
        <v>686</v>
      </c>
      <c r="H35" s="9" t="s">
        <v>214</v>
      </c>
      <c r="I35" s="9" t="s">
        <v>213</v>
      </c>
      <c r="J35" s="9" t="s">
        <v>90</v>
      </c>
      <c r="K35" s="9" t="s">
        <v>627</v>
      </c>
      <c r="L35" s="38" t="s">
        <v>296</v>
      </c>
      <c r="M35" s="125"/>
      <c r="N35" s="125"/>
      <c r="O35" s="138"/>
    </row>
    <row r="36" spans="1:15" ht="409.5" customHeight="1">
      <c r="A36" s="36"/>
      <c r="B36" s="9" t="s">
        <v>305</v>
      </c>
      <c r="C36" s="9" t="s">
        <v>14</v>
      </c>
      <c r="D36" s="9" t="s">
        <v>102</v>
      </c>
      <c r="E36" s="9" t="s">
        <v>701</v>
      </c>
      <c r="F36" s="9" t="s">
        <v>182</v>
      </c>
      <c r="G36" s="38" t="s">
        <v>687</v>
      </c>
      <c r="H36" s="9" t="s">
        <v>350</v>
      </c>
      <c r="I36" s="9" t="s">
        <v>255</v>
      </c>
      <c r="J36" s="9" t="s">
        <v>110</v>
      </c>
      <c r="K36" s="9" t="s">
        <v>15</v>
      </c>
      <c r="L36" s="38" t="s">
        <v>296</v>
      </c>
      <c r="M36" s="125"/>
      <c r="N36" s="125"/>
      <c r="O36" s="138"/>
    </row>
    <row r="37" spans="1:15" ht="258.75" customHeight="1">
      <c r="A37" s="36"/>
      <c r="B37" s="9" t="s">
        <v>305</v>
      </c>
      <c r="C37" s="9" t="s">
        <v>14</v>
      </c>
      <c r="D37" s="9" t="s">
        <v>102</v>
      </c>
      <c r="E37" s="9" t="s">
        <v>701</v>
      </c>
      <c r="F37" s="9" t="s">
        <v>184</v>
      </c>
      <c r="G37" s="38" t="s">
        <v>689</v>
      </c>
      <c r="H37" s="9" t="s">
        <v>253</v>
      </c>
      <c r="I37" s="9" t="s">
        <v>255</v>
      </c>
      <c r="J37" s="9" t="s">
        <v>96</v>
      </c>
      <c r="K37" s="9" t="s">
        <v>293</v>
      </c>
      <c r="L37" s="38" t="s">
        <v>302</v>
      </c>
      <c r="M37" s="125"/>
      <c r="N37" s="125"/>
      <c r="O37" s="138"/>
    </row>
    <row r="38" spans="1:15" ht="81.599999999999994">
      <c r="A38" s="36"/>
      <c r="B38" s="9" t="s">
        <v>305</v>
      </c>
      <c r="C38" s="9" t="s">
        <v>14</v>
      </c>
      <c r="D38" s="9" t="s">
        <v>102</v>
      </c>
      <c r="E38" s="9" t="s">
        <v>701</v>
      </c>
      <c r="F38" s="9" t="s">
        <v>185</v>
      </c>
      <c r="G38" s="38" t="s">
        <v>690</v>
      </c>
      <c r="H38" s="9" t="s">
        <v>214</v>
      </c>
      <c r="I38" s="9" t="s">
        <v>254</v>
      </c>
      <c r="J38" s="9" t="s">
        <v>96</v>
      </c>
      <c r="K38" s="22" t="s">
        <v>95</v>
      </c>
      <c r="L38" s="38"/>
      <c r="M38" s="125"/>
      <c r="N38" s="125"/>
      <c r="O38" s="138"/>
    </row>
    <row r="39" spans="1:15" ht="249.75" customHeight="1">
      <c r="A39" s="36"/>
      <c r="B39" s="9" t="s">
        <v>305</v>
      </c>
      <c r="C39" s="9" t="s">
        <v>14</v>
      </c>
      <c r="D39" s="9" t="s">
        <v>102</v>
      </c>
      <c r="E39" s="9" t="s">
        <v>701</v>
      </c>
      <c r="F39" s="9" t="s">
        <v>186</v>
      </c>
      <c r="G39" s="46" t="s">
        <v>691</v>
      </c>
      <c r="H39" s="9" t="s">
        <v>126</v>
      </c>
      <c r="I39" s="9" t="s">
        <v>254</v>
      </c>
      <c r="J39" s="9" t="s">
        <v>96</v>
      </c>
      <c r="K39" s="9" t="s">
        <v>259</v>
      </c>
      <c r="L39" s="38" t="s">
        <v>296</v>
      </c>
      <c r="M39" s="125"/>
      <c r="N39" s="125"/>
      <c r="O39" s="138"/>
    </row>
    <row r="40" spans="1:15" s="34" customFormat="1" ht="187.5" customHeight="1">
      <c r="A40" s="36"/>
      <c r="B40" s="9" t="s">
        <v>305</v>
      </c>
      <c r="C40" s="9" t="s">
        <v>14</v>
      </c>
      <c r="D40" s="9" t="s">
        <v>102</v>
      </c>
      <c r="E40" s="9" t="s">
        <v>701</v>
      </c>
      <c r="F40" s="9" t="s">
        <v>187</v>
      </c>
      <c r="G40" s="38" t="s">
        <v>692</v>
      </c>
      <c r="H40" s="9" t="s">
        <v>91</v>
      </c>
      <c r="I40" s="9" t="s">
        <v>213</v>
      </c>
      <c r="J40" s="9" t="s">
        <v>101</v>
      </c>
      <c r="K40" s="22" t="s">
        <v>258</v>
      </c>
      <c r="L40" s="38"/>
      <c r="M40" s="136"/>
      <c r="N40" s="136"/>
      <c r="O40" s="139"/>
    </row>
    <row r="41" spans="1:15" ht="165.75" customHeight="1">
      <c r="A41" s="36"/>
      <c r="B41" s="9" t="s">
        <v>305</v>
      </c>
      <c r="C41" s="9" t="s">
        <v>14</v>
      </c>
      <c r="D41" s="9" t="s">
        <v>102</v>
      </c>
      <c r="E41" s="9" t="s">
        <v>701</v>
      </c>
      <c r="F41" s="9" t="s">
        <v>188</v>
      </c>
      <c r="G41" s="38" t="s">
        <v>628</v>
      </c>
      <c r="H41" s="9" t="s">
        <v>91</v>
      </c>
      <c r="I41" s="9" t="s">
        <v>254</v>
      </c>
      <c r="J41" s="9" t="s">
        <v>97</v>
      </c>
      <c r="K41" s="22" t="s">
        <v>260</v>
      </c>
      <c r="L41" s="38" t="s">
        <v>302</v>
      </c>
      <c r="M41" s="125"/>
      <c r="N41" s="125"/>
      <c r="O41" s="138"/>
    </row>
    <row r="42" spans="1:15" ht="71.400000000000006">
      <c r="A42" s="36"/>
      <c r="B42" s="9" t="s">
        <v>305</v>
      </c>
      <c r="C42" s="9" t="s">
        <v>14</v>
      </c>
      <c r="D42" s="9" t="s">
        <v>102</v>
      </c>
      <c r="E42" s="9" t="s">
        <v>701</v>
      </c>
      <c r="F42" s="9" t="s">
        <v>189</v>
      </c>
      <c r="G42" s="38" t="s">
        <v>349</v>
      </c>
      <c r="H42" s="9" t="s">
        <v>126</v>
      </c>
      <c r="I42" s="9" t="s">
        <v>254</v>
      </c>
      <c r="J42" s="9" t="s">
        <v>17</v>
      </c>
      <c r="K42" s="9" t="s">
        <v>261</v>
      </c>
      <c r="L42" s="38" t="s">
        <v>302</v>
      </c>
      <c r="M42" s="125"/>
      <c r="N42" s="125"/>
      <c r="O42" s="138"/>
    </row>
    <row r="43" spans="1:15" ht="156.75" customHeight="1">
      <c r="A43" s="36"/>
      <c r="B43" s="9" t="s">
        <v>305</v>
      </c>
      <c r="C43" s="9" t="s">
        <v>14</v>
      </c>
      <c r="D43" s="9" t="s">
        <v>102</v>
      </c>
      <c r="E43" s="9" t="s">
        <v>701</v>
      </c>
      <c r="F43" s="9" t="s">
        <v>190</v>
      </c>
      <c r="G43" s="38" t="s">
        <v>693</v>
      </c>
      <c r="H43" s="9" t="s">
        <v>126</v>
      </c>
      <c r="I43" s="9" t="s">
        <v>212</v>
      </c>
      <c r="J43" s="9" t="s">
        <v>17</v>
      </c>
      <c r="K43" s="9" t="s">
        <v>260</v>
      </c>
      <c r="L43" s="38" t="s">
        <v>302</v>
      </c>
      <c r="M43" s="125"/>
      <c r="N43" s="125"/>
      <c r="O43" s="138"/>
    </row>
    <row r="44" spans="1:15" ht="270" customHeight="1">
      <c r="A44" s="36"/>
      <c r="B44" s="9" t="s">
        <v>305</v>
      </c>
      <c r="C44" s="9" t="s">
        <v>14</v>
      </c>
      <c r="D44" s="9" t="s">
        <v>102</v>
      </c>
      <c r="E44" s="9" t="s">
        <v>701</v>
      </c>
      <c r="F44" s="9" t="s">
        <v>191</v>
      </c>
      <c r="G44" s="38" t="s">
        <v>694</v>
      </c>
      <c r="H44" s="9" t="s">
        <v>126</v>
      </c>
      <c r="I44" s="9" t="s">
        <v>212</v>
      </c>
      <c r="J44" s="9" t="s">
        <v>17</v>
      </c>
      <c r="K44" s="9" t="s">
        <v>261</v>
      </c>
      <c r="L44" s="38" t="s">
        <v>302</v>
      </c>
      <c r="M44" s="125"/>
      <c r="N44" s="125"/>
      <c r="O44" s="138"/>
    </row>
    <row r="45" spans="1:15" ht="243" customHeight="1">
      <c r="A45" s="36"/>
      <c r="B45" s="9" t="s">
        <v>305</v>
      </c>
      <c r="C45" s="22" t="s">
        <v>22</v>
      </c>
      <c r="D45" s="9" t="s">
        <v>102</v>
      </c>
      <c r="E45" s="9" t="s">
        <v>681</v>
      </c>
      <c r="F45" s="9" t="s">
        <v>192</v>
      </c>
      <c r="G45" s="38" t="s">
        <v>695</v>
      </c>
      <c r="H45" s="9" t="s">
        <v>214</v>
      </c>
      <c r="I45" s="9" t="s">
        <v>215</v>
      </c>
      <c r="J45" s="9" t="s">
        <v>17</v>
      </c>
      <c r="K45" s="91" t="s">
        <v>266</v>
      </c>
      <c r="L45" s="38" t="s">
        <v>296</v>
      </c>
      <c r="M45" s="125"/>
      <c r="N45" s="125"/>
      <c r="O45" s="138"/>
    </row>
    <row r="46" spans="1:15" ht="142.80000000000001">
      <c r="A46" s="36"/>
      <c r="B46" s="9" t="s">
        <v>305</v>
      </c>
      <c r="C46" s="22" t="s">
        <v>22</v>
      </c>
      <c r="D46" s="9" t="s">
        <v>102</v>
      </c>
      <c r="E46" s="9" t="s">
        <v>681</v>
      </c>
      <c r="F46" s="9" t="s">
        <v>193</v>
      </c>
      <c r="G46" s="38" t="s">
        <v>630</v>
      </c>
      <c r="H46" s="9" t="s">
        <v>214</v>
      </c>
      <c r="I46" s="9" t="s">
        <v>254</v>
      </c>
      <c r="J46" s="9" t="s">
        <v>17</v>
      </c>
      <c r="K46" s="9" t="s">
        <v>252</v>
      </c>
      <c r="L46" s="38" t="s">
        <v>302</v>
      </c>
      <c r="M46" s="125"/>
      <c r="N46" s="125"/>
      <c r="O46" s="138"/>
    </row>
    <row r="47" spans="1:15" ht="112.5" customHeight="1">
      <c r="A47" s="36"/>
      <c r="B47" s="9" t="s">
        <v>305</v>
      </c>
      <c r="C47" s="22" t="s">
        <v>22</v>
      </c>
      <c r="D47" s="9" t="s">
        <v>102</v>
      </c>
      <c r="E47" s="9" t="s">
        <v>681</v>
      </c>
      <c r="F47" s="9" t="s">
        <v>194</v>
      </c>
      <c r="G47" s="95" t="s">
        <v>352</v>
      </c>
      <c r="H47" s="9" t="s">
        <v>214</v>
      </c>
      <c r="I47" s="9" t="s">
        <v>255</v>
      </c>
      <c r="J47" s="9" t="s">
        <v>17</v>
      </c>
      <c r="K47" s="9" t="s">
        <v>252</v>
      </c>
      <c r="L47" s="38"/>
      <c r="M47" s="125"/>
      <c r="N47" s="125"/>
      <c r="O47" s="138"/>
    </row>
    <row r="48" spans="1:15" ht="201.6" customHeight="1">
      <c r="A48" s="36"/>
      <c r="B48" s="9" t="s">
        <v>305</v>
      </c>
      <c r="C48" s="22" t="s">
        <v>19</v>
      </c>
      <c r="D48" s="9" t="s">
        <v>102</v>
      </c>
      <c r="E48" s="9" t="s">
        <v>702</v>
      </c>
      <c r="F48" s="9" t="s">
        <v>195</v>
      </c>
      <c r="G48" s="38" t="s">
        <v>353</v>
      </c>
      <c r="H48" s="9" t="s">
        <v>126</v>
      </c>
      <c r="I48" s="9" t="s">
        <v>255</v>
      </c>
      <c r="J48" s="9" t="s">
        <v>17</v>
      </c>
      <c r="K48" s="9" t="s">
        <v>257</v>
      </c>
      <c r="L48" s="38" t="s">
        <v>296</v>
      </c>
      <c r="M48" s="125"/>
      <c r="N48" s="125"/>
      <c r="O48" s="138"/>
    </row>
    <row r="49" spans="1:15" s="40" customFormat="1" ht="184.5" customHeight="1">
      <c r="A49" s="36"/>
      <c r="B49" s="9" t="s">
        <v>305</v>
      </c>
      <c r="C49" s="22" t="s">
        <v>19</v>
      </c>
      <c r="D49" s="9" t="s">
        <v>102</v>
      </c>
      <c r="E49" s="9" t="s">
        <v>702</v>
      </c>
      <c r="F49" s="9" t="s">
        <v>196</v>
      </c>
      <c r="G49" s="38" t="s">
        <v>538</v>
      </c>
      <c r="H49" s="9" t="s">
        <v>94</v>
      </c>
      <c r="I49" s="9" t="s">
        <v>255</v>
      </c>
      <c r="J49" s="9" t="s">
        <v>17</v>
      </c>
      <c r="K49" s="9" t="s">
        <v>632</v>
      </c>
      <c r="L49" s="38"/>
      <c r="M49" s="137"/>
      <c r="N49" s="137"/>
      <c r="O49" s="140"/>
    </row>
    <row r="50" spans="1:15" s="40" customFormat="1" ht="153">
      <c r="A50" s="36"/>
      <c r="B50" s="9" t="s">
        <v>305</v>
      </c>
      <c r="C50" s="22" t="s">
        <v>19</v>
      </c>
      <c r="D50" s="9" t="s">
        <v>102</v>
      </c>
      <c r="E50" s="9" t="s">
        <v>702</v>
      </c>
      <c r="F50" s="9" t="s">
        <v>197</v>
      </c>
      <c r="G50" s="38" t="s">
        <v>508</v>
      </c>
      <c r="H50" s="9" t="s">
        <v>94</v>
      </c>
      <c r="I50" s="9" t="s">
        <v>255</v>
      </c>
      <c r="J50" s="9" t="s">
        <v>96</v>
      </c>
      <c r="K50" s="9" t="s">
        <v>631</v>
      </c>
      <c r="L50" s="38"/>
      <c r="M50" s="137"/>
      <c r="N50" s="137"/>
      <c r="O50" s="140"/>
    </row>
    <row r="51" spans="1:15" ht="142.80000000000001">
      <c r="A51" s="36"/>
      <c r="B51" s="9" t="s">
        <v>305</v>
      </c>
      <c r="C51" s="22" t="s">
        <v>19</v>
      </c>
      <c r="D51" s="9" t="s">
        <v>102</v>
      </c>
      <c r="E51" s="9" t="s">
        <v>702</v>
      </c>
      <c r="F51" s="9" t="s">
        <v>198</v>
      </c>
      <c r="G51" s="9" t="s">
        <v>517</v>
      </c>
      <c r="H51" s="9" t="s">
        <v>256</v>
      </c>
      <c r="I51" s="9" t="s">
        <v>254</v>
      </c>
      <c r="J51" s="9" t="s">
        <v>17</v>
      </c>
      <c r="K51" s="9" t="s">
        <v>262</v>
      </c>
      <c r="L51" s="38" t="s">
        <v>296</v>
      </c>
      <c r="M51" s="125"/>
      <c r="N51" s="125"/>
      <c r="O51" s="138"/>
    </row>
    <row r="52" spans="1:15" ht="183.6">
      <c r="B52" s="9" t="s">
        <v>305</v>
      </c>
      <c r="C52" s="22" t="s">
        <v>22</v>
      </c>
      <c r="D52" s="9" t="s">
        <v>102</v>
      </c>
      <c r="E52" s="9" t="s">
        <v>681</v>
      </c>
      <c r="F52" s="9" t="s">
        <v>308</v>
      </c>
      <c r="G52" s="38" t="s">
        <v>602</v>
      </c>
      <c r="H52" s="9" t="s">
        <v>214</v>
      </c>
      <c r="I52" s="9" t="s">
        <v>255</v>
      </c>
      <c r="J52" s="9" t="s">
        <v>17</v>
      </c>
      <c r="K52" s="91" t="s">
        <v>309</v>
      </c>
      <c r="L52" s="38" t="s">
        <v>296</v>
      </c>
      <c r="M52" s="125"/>
      <c r="N52" s="125"/>
      <c r="O52" s="138"/>
    </row>
    <row r="53" spans="1:15" ht="120.75" customHeight="1">
      <c r="B53" s="9" t="s">
        <v>305</v>
      </c>
      <c r="C53" s="22" t="s">
        <v>22</v>
      </c>
      <c r="D53" s="9" t="s">
        <v>102</v>
      </c>
      <c r="E53" s="9" t="s">
        <v>681</v>
      </c>
      <c r="F53" s="9" t="s">
        <v>310</v>
      </c>
      <c r="G53" s="97" t="s">
        <v>355</v>
      </c>
      <c r="H53" s="9" t="s">
        <v>214</v>
      </c>
      <c r="I53" s="9" t="s">
        <v>255</v>
      </c>
      <c r="J53" s="9" t="s">
        <v>17</v>
      </c>
      <c r="K53" s="91" t="s">
        <v>260</v>
      </c>
      <c r="L53" s="38"/>
      <c r="M53" s="125"/>
      <c r="N53" s="125"/>
      <c r="O53" s="138"/>
    </row>
    <row r="54" spans="1:15" ht="150.75" customHeight="1">
      <c r="A54" s="36"/>
      <c r="B54" s="9" t="s">
        <v>305</v>
      </c>
      <c r="C54" s="22" t="s">
        <v>19</v>
      </c>
      <c r="D54" s="9" t="s">
        <v>102</v>
      </c>
      <c r="E54" s="9" t="s">
        <v>702</v>
      </c>
      <c r="F54" s="9" t="s">
        <v>507</v>
      </c>
      <c r="G54" s="39" t="s">
        <v>505</v>
      </c>
      <c r="H54" s="9" t="s">
        <v>214</v>
      </c>
      <c r="I54" s="9" t="s">
        <v>254</v>
      </c>
      <c r="J54" s="44" t="s">
        <v>96</v>
      </c>
      <c r="K54" s="44" t="s">
        <v>260</v>
      </c>
      <c r="L54" s="94"/>
      <c r="M54" s="125"/>
      <c r="N54" s="125"/>
      <c r="O54" s="138"/>
    </row>
    <row r="55" spans="1:15" ht="85.5" customHeight="1">
      <c r="A55" s="36"/>
      <c r="B55" s="9" t="s">
        <v>305</v>
      </c>
      <c r="C55" s="22" t="s">
        <v>542</v>
      </c>
      <c r="D55" s="9" t="s">
        <v>102</v>
      </c>
      <c r="E55" s="9" t="s">
        <v>703</v>
      </c>
      <c r="F55" s="9" t="s">
        <v>551</v>
      </c>
      <c r="G55" s="39" t="s">
        <v>541</v>
      </c>
      <c r="H55" s="9" t="s">
        <v>126</v>
      </c>
      <c r="I55" s="9" t="s">
        <v>254</v>
      </c>
      <c r="J55" s="44" t="s">
        <v>17</v>
      </c>
      <c r="K55" s="44" t="s">
        <v>260</v>
      </c>
      <c r="L55" s="94"/>
      <c r="M55" s="125"/>
      <c r="N55" s="125"/>
      <c r="O55" s="138"/>
    </row>
    <row r="56" spans="1:15" ht="224.4">
      <c r="A56" s="36"/>
      <c r="B56" s="35" t="s">
        <v>12</v>
      </c>
      <c r="C56" s="35" t="s">
        <v>21</v>
      </c>
      <c r="D56" s="35" t="s">
        <v>54</v>
      </c>
      <c r="E56" s="35" t="s">
        <v>704</v>
      </c>
      <c r="F56" s="9" t="s">
        <v>200</v>
      </c>
      <c r="G56" s="39" t="s">
        <v>529</v>
      </c>
      <c r="H56" s="9" t="s">
        <v>214</v>
      </c>
      <c r="I56" s="9" t="s">
        <v>254</v>
      </c>
      <c r="J56" s="44" t="s">
        <v>96</v>
      </c>
      <c r="K56" s="44" t="s">
        <v>263</v>
      </c>
      <c r="L56" s="37" t="s">
        <v>296</v>
      </c>
      <c r="M56" s="125"/>
      <c r="N56" s="125"/>
      <c r="O56" s="138"/>
    </row>
    <row r="57" spans="1:15" ht="102">
      <c r="A57" s="36"/>
      <c r="B57" s="35" t="s">
        <v>12</v>
      </c>
      <c r="C57" s="35" t="s">
        <v>21</v>
      </c>
      <c r="D57" s="35" t="s">
        <v>54</v>
      </c>
      <c r="E57" s="35" t="s">
        <v>704</v>
      </c>
      <c r="F57" s="9" t="s">
        <v>201</v>
      </c>
      <c r="G57" s="39" t="s">
        <v>434</v>
      </c>
      <c r="H57" s="9" t="s">
        <v>214</v>
      </c>
      <c r="I57" s="9" t="s">
        <v>254</v>
      </c>
      <c r="J57" s="44" t="s">
        <v>96</v>
      </c>
      <c r="K57" s="44" t="s">
        <v>263</v>
      </c>
      <c r="L57" s="94"/>
      <c r="M57" s="125"/>
      <c r="N57" s="125"/>
      <c r="O57" s="138"/>
    </row>
    <row r="58" spans="1:15" ht="357">
      <c r="A58" s="36"/>
      <c r="B58" s="35" t="s">
        <v>12</v>
      </c>
      <c r="C58" s="35" t="s">
        <v>21</v>
      </c>
      <c r="D58" s="35" t="s">
        <v>54</v>
      </c>
      <c r="E58" s="35" t="s">
        <v>704</v>
      </c>
      <c r="F58" s="9" t="s">
        <v>202</v>
      </c>
      <c r="G58" s="39" t="s">
        <v>616</v>
      </c>
      <c r="H58" s="9" t="s">
        <v>214</v>
      </c>
      <c r="I58" s="9" t="s">
        <v>254</v>
      </c>
      <c r="J58" s="44" t="s">
        <v>17</v>
      </c>
      <c r="K58" s="44" t="s">
        <v>95</v>
      </c>
      <c r="L58" s="37" t="s">
        <v>296</v>
      </c>
      <c r="M58" s="125"/>
      <c r="N58" s="125"/>
      <c r="O58" s="138"/>
    </row>
    <row r="59" spans="1:15" ht="78.75" customHeight="1">
      <c r="A59" s="36"/>
      <c r="B59" s="35" t="s">
        <v>12</v>
      </c>
      <c r="C59" s="35" t="s">
        <v>21</v>
      </c>
      <c r="D59" s="35" t="s">
        <v>54</v>
      </c>
      <c r="E59" s="35" t="s">
        <v>704</v>
      </c>
      <c r="F59" s="9" t="s">
        <v>203</v>
      </c>
      <c r="G59" s="39" t="s">
        <v>435</v>
      </c>
      <c r="H59" s="9" t="s">
        <v>214</v>
      </c>
      <c r="I59" s="9" t="s">
        <v>212</v>
      </c>
      <c r="J59" s="44" t="s">
        <v>17</v>
      </c>
      <c r="K59" s="44" t="s">
        <v>95</v>
      </c>
      <c r="L59" s="94"/>
      <c r="M59" s="125"/>
      <c r="N59" s="125"/>
      <c r="O59" s="138"/>
    </row>
    <row r="60" spans="1:15" ht="295.8">
      <c r="A60" s="36"/>
      <c r="B60" s="35" t="s">
        <v>12</v>
      </c>
      <c r="C60" s="35" t="s">
        <v>5</v>
      </c>
      <c r="D60" s="35" t="s">
        <v>54</v>
      </c>
      <c r="E60" s="35" t="s">
        <v>705</v>
      </c>
      <c r="F60" s="96" t="s">
        <v>204</v>
      </c>
      <c r="G60" s="39" t="s">
        <v>534</v>
      </c>
      <c r="H60" s="9" t="s">
        <v>126</v>
      </c>
      <c r="I60" s="9" t="s">
        <v>213</v>
      </c>
      <c r="J60" s="43" t="s">
        <v>17</v>
      </c>
      <c r="K60" s="43" t="s">
        <v>265</v>
      </c>
      <c r="L60" s="37" t="s">
        <v>296</v>
      </c>
      <c r="M60" s="125"/>
      <c r="N60" s="125"/>
      <c r="O60" s="138"/>
    </row>
    <row r="61" spans="1:15" ht="87" customHeight="1">
      <c r="A61" s="36"/>
      <c r="B61" s="35" t="s">
        <v>12</v>
      </c>
      <c r="C61" s="35" t="s">
        <v>4</v>
      </c>
      <c r="D61" s="35" t="s">
        <v>54</v>
      </c>
      <c r="E61" s="35" t="s">
        <v>706</v>
      </c>
      <c r="F61" s="9" t="s">
        <v>205</v>
      </c>
      <c r="G61" s="39" t="s">
        <v>436</v>
      </c>
      <c r="H61" s="9" t="s">
        <v>126</v>
      </c>
      <c r="I61" s="9" t="s">
        <v>213</v>
      </c>
      <c r="J61" s="44" t="s">
        <v>96</v>
      </c>
      <c r="K61" s="43" t="s">
        <v>437</v>
      </c>
      <c r="L61" s="37" t="s">
        <v>306</v>
      </c>
      <c r="M61" s="125"/>
      <c r="N61" s="125"/>
      <c r="O61" s="138"/>
    </row>
    <row r="62" spans="1:15" ht="96" customHeight="1">
      <c r="A62" s="36"/>
      <c r="B62" s="35" t="s">
        <v>12</v>
      </c>
      <c r="C62" s="35" t="s">
        <v>4</v>
      </c>
      <c r="D62" s="35" t="s">
        <v>54</v>
      </c>
      <c r="E62" s="35" t="s">
        <v>706</v>
      </c>
      <c r="F62" s="9" t="s">
        <v>206</v>
      </c>
      <c r="G62" s="39" t="s">
        <v>438</v>
      </c>
      <c r="H62" s="9" t="s">
        <v>126</v>
      </c>
      <c r="I62" s="9" t="s">
        <v>213</v>
      </c>
      <c r="J62" s="43" t="s">
        <v>104</v>
      </c>
      <c r="K62" s="43" t="s">
        <v>437</v>
      </c>
      <c r="L62" s="37" t="s">
        <v>296</v>
      </c>
      <c r="M62" s="125"/>
      <c r="N62" s="125"/>
      <c r="O62" s="138"/>
    </row>
    <row r="63" spans="1:15" ht="87" customHeight="1">
      <c r="A63" s="36"/>
      <c r="B63" s="35" t="s">
        <v>12</v>
      </c>
      <c r="C63" s="45" t="s">
        <v>52</v>
      </c>
      <c r="D63" s="35" t="s">
        <v>54</v>
      </c>
      <c r="E63" s="35" t="s">
        <v>707</v>
      </c>
      <c r="F63" s="9" t="s">
        <v>207</v>
      </c>
      <c r="G63" s="39" t="s">
        <v>439</v>
      </c>
      <c r="H63" s="9" t="s">
        <v>126</v>
      </c>
      <c r="I63" s="9" t="s">
        <v>213</v>
      </c>
      <c r="J63" s="43" t="s">
        <v>85</v>
      </c>
      <c r="K63" s="43" t="s">
        <v>440</v>
      </c>
      <c r="L63" s="37" t="s">
        <v>296</v>
      </c>
      <c r="M63" s="125"/>
      <c r="N63" s="125"/>
      <c r="O63" s="138"/>
    </row>
    <row r="64" spans="1:15" ht="142.80000000000001">
      <c r="A64" s="36"/>
      <c r="B64" s="35" t="s">
        <v>12</v>
      </c>
      <c r="C64" s="35" t="s">
        <v>106</v>
      </c>
      <c r="D64" s="35" t="s">
        <v>54</v>
      </c>
      <c r="E64" s="35" t="s">
        <v>708</v>
      </c>
      <c r="F64" s="96" t="s">
        <v>208</v>
      </c>
      <c r="G64" s="39" t="s">
        <v>441</v>
      </c>
      <c r="H64" s="9" t="s">
        <v>126</v>
      </c>
      <c r="I64" s="9" t="s">
        <v>254</v>
      </c>
      <c r="J64" s="43" t="s">
        <v>105</v>
      </c>
      <c r="K64" s="43" t="s">
        <v>442</v>
      </c>
      <c r="L64" s="94"/>
      <c r="M64" s="125"/>
      <c r="N64" s="125"/>
      <c r="O64" s="138"/>
    </row>
    <row r="65" spans="1:15" ht="137.25" customHeight="1">
      <c r="A65" s="36"/>
      <c r="B65" s="35" t="s">
        <v>12</v>
      </c>
      <c r="C65" s="35" t="s">
        <v>6</v>
      </c>
      <c r="D65" s="35" t="s">
        <v>54</v>
      </c>
      <c r="E65" s="35" t="s">
        <v>709</v>
      </c>
      <c r="F65" s="9" t="s">
        <v>209</v>
      </c>
      <c r="G65" s="39" t="s">
        <v>443</v>
      </c>
      <c r="H65" s="9" t="s">
        <v>126</v>
      </c>
      <c r="I65" s="9" t="s">
        <v>255</v>
      </c>
      <c r="J65" s="43" t="s">
        <v>17</v>
      </c>
      <c r="K65" s="43" t="s">
        <v>264</v>
      </c>
      <c r="L65" s="37" t="s">
        <v>307</v>
      </c>
      <c r="M65" s="125"/>
      <c r="N65" s="125"/>
      <c r="O65" s="138"/>
    </row>
    <row r="66" spans="1:15" ht="173.4">
      <c r="A66" s="36"/>
      <c r="B66" s="35" t="s">
        <v>12</v>
      </c>
      <c r="C66" s="35" t="s">
        <v>20</v>
      </c>
      <c r="D66" s="35" t="s">
        <v>54</v>
      </c>
      <c r="E66" s="35" t="s">
        <v>710</v>
      </c>
      <c r="F66" s="9" t="s">
        <v>210</v>
      </c>
      <c r="G66" s="39" t="s">
        <v>506</v>
      </c>
      <c r="H66" s="9" t="s">
        <v>126</v>
      </c>
      <c r="I66" s="9" t="s">
        <v>255</v>
      </c>
      <c r="J66" s="43" t="s">
        <v>17</v>
      </c>
      <c r="K66" s="43" t="s">
        <v>264</v>
      </c>
      <c r="L66" s="37" t="s">
        <v>296</v>
      </c>
      <c r="M66" s="125"/>
      <c r="N66" s="125"/>
      <c r="O66" s="138"/>
    </row>
    <row r="67" spans="1:15" ht="75.75" customHeight="1">
      <c r="A67" s="36"/>
      <c r="B67" s="35" t="s">
        <v>12</v>
      </c>
      <c r="C67" s="35" t="s">
        <v>20</v>
      </c>
      <c r="D67" s="35" t="s">
        <v>54</v>
      </c>
      <c r="E67" s="35" t="s">
        <v>710</v>
      </c>
      <c r="F67" s="9" t="s">
        <v>211</v>
      </c>
      <c r="G67" s="39" t="s">
        <v>444</v>
      </c>
      <c r="H67" s="9" t="s">
        <v>92</v>
      </c>
      <c r="I67" s="9" t="s">
        <v>255</v>
      </c>
      <c r="J67" s="43" t="s">
        <v>86</v>
      </c>
      <c r="K67" s="43" t="s">
        <v>263</v>
      </c>
      <c r="L67" s="94"/>
      <c r="M67" s="125"/>
      <c r="N67" s="125"/>
      <c r="O67" s="138"/>
    </row>
    <row r="68" spans="1:15" ht="160.19999999999999" customHeight="1">
      <c r="B68" s="35" t="s">
        <v>12</v>
      </c>
      <c r="C68" s="35" t="s">
        <v>21</v>
      </c>
      <c r="D68" s="35" t="s">
        <v>54</v>
      </c>
      <c r="E68" s="35" t="s">
        <v>704</v>
      </c>
      <c r="F68" s="96" t="s">
        <v>294</v>
      </c>
      <c r="G68" s="39" t="s">
        <v>511</v>
      </c>
      <c r="H68" s="9" t="s">
        <v>91</v>
      </c>
      <c r="I68" s="9" t="s">
        <v>254</v>
      </c>
      <c r="J68" s="44" t="s">
        <v>17</v>
      </c>
      <c r="K68" s="44" t="s">
        <v>295</v>
      </c>
      <c r="L68" s="37" t="s">
        <v>296</v>
      </c>
      <c r="M68" s="125"/>
      <c r="N68" s="125"/>
      <c r="O68" s="138"/>
    </row>
    <row r="69" spans="1:15" ht="82.2" customHeight="1">
      <c r="B69" s="35" t="s">
        <v>12</v>
      </c>
      <c r="C69" s="35" t="s">
        <v>21</v>
      </c>
      <c r="D69" s="35" t="s">
        <v>54</v>
      </c>
      <c r="E69" s="35" t="s">
        <v>704</v>
      </c>
      <c r="F69" s="9" t="s">
        <v>297</v>
      </c>
      <c r="G69" s="92" t="s">
        <v>696</v>
      </c>
      <c r="H69" s="9" t="s">
        <v>126</v>
      </c>
      <c r="I69" s="9" t="s">
        <v>254</v>
      </c>
      <c r="J69" s="44" t="s">
        <v>17</v>
      </c>
      <c r="K69" s="44" t="s">
        <v>295</v>
      </c>
      <c r="L69" s="37"/>
      <c r="M69" s="125"/>
      <c r="N69" s="125"/>
      <c r="O69" s="138"/>
    </row>
    <row r="70" spans="1:15" ht="129.75" customHeight="1">
      <c r="B70" s="35" t="s">
        <v>12</v>
      </c>
      <c r="C70" s="35" t="s">
        <v>21</v>
      </c>
      <c r="D70" s="35" t="s">
        <v>54</v>
      </c>
      <c r="E70" s="35" t="s">
        <v>704</v>
      </c>
      <c r="F70" s="9" t="s">
        <v>298</v>
      </c>
      <c r="G70" s="92" t="s">
        <v>603</v>
      </c>
      <c r="H70" s="9" t="s">
        <v>126</v>
      </c>
      <c r="I70" s="9" t="s">
        <v>254</v>
      </c>
      <c r="J70" s="44" t="s">
        <v>17</v>
      </c>
      <c r="K70" s="44" t="s">
        <v>295</v>
      </c>
      <c r="L70" s="37" t="s">
        <v>296</v>
      </c>
      <c r="M70" s="125"/>
      <c r="N70" s="125"/>
      <c r="O70" s="138"/>
    </row>
    <row r="71" spans="1:15" s="40" customFormat="1" ht="102">
      <c r="A71" s="36"/>
      <c r="B71" s="35" t="s">
        <v>12</v>
      </c>
      <c r="C71" s="35" t="s">
        <v>57</v>
      </c>
      <c r="D71" s="9" t="s">
        <v>102</v>
      </c>
      <c r="E71" s="9" t="s">
        <v>711</v>
      </c>
      <c r="F71" s="9" t="s">
        <v>509</v>
      </c>
      <c r="G71" s="38" t="s">
        <v>533</v>
      </c>
      <c r="H71" s="9" t="s">
        <v>94</v>
      </c>
      <c r="I71" s="9" t="s">
        <v>213</v>
      </c>
      <c r="J71" s="9" t="s">
        <v>97</v>
      </c>
      <c r="K71" s="38" t="s">
        <v>354</v>
      </c>
      <c r="L71" s="38"/>
      <c r="M71" s="137"/>
      <c r="N71" s="137"/>
      <c r="O71" s="140"/>
    </row>
    <row r="72" spans="1:15" ht="133.5" customHeight="1">
      <c r="A72" s="36"/>
      <c r="B72" s="35" t="s">
        <v>12</v>
      </c>
      <c r="C72" s="35" t="s">
        <v>57</v>
      </c>
      <c r="D72" s="9" t="s">
        <v>102</v>
      </c>
      <c r="E72" s="9" t="s">
        <v>711</v>
      </c>
      <c r="F72" s="9" t="s">
        <v>510</v>
      </c>
      <c r="G72" s="8" t="s">
        <v>609</v>
      </c>
      <c r="H72" s="9" t="s">
        <v>94</v>
      </c>
      <c r="I72" s="9" t="s">
        <v>213</v>
      </c>
      <c r="J72" s="9" t="s">
        <v>98</v>
      </c>
      <c r="K72" s="9" t="s">
        <v>99</v>
      </c>
      <c r="L72" s="38"/>
      <c r="M72" s="125"/>
      <c r="N72" s="125"/>
      <c r="O72" s="138"/>
    </row>
    <row r="73" spans="1:15" ht="152.25" customHeight="1">
      <c r="A73" s="36"/>
      <c r="B73" s="35" t="s">
        <v>12</v>
      </c>
      <c r="C73" s="35" t="s">
        <v>21</v>
      </c>
      <c r="D73" s="35" t="s">
        <v>54</v>
      </c>
      <c r="E73" s="35" t="s">
        <v>704</v>
      </c>
      <c r="F73" s="9" t="s">
        <v>605</v>
      </c>
      <c r="G73" s="39" t="s">
        <v>610</v>
      </c>
      <c r="H73" s="9" t="s">
        <v>126</v>
      </c>
      <c r="I73" s="9" t="s">
        <v>606</v>
      </c>
      <c r="J73" s="9" t="s">
        <v>17</v>
      </c>
      <c r="K73" s="9" t="s">
        <v>607</v>
      </c>
      <c r="L73" s="9" t="s">
        <v>296</v>
      </c>
      <c r="M73" s="125"/>
      <c r="N73" s="125"/>
      <c r="O73" s="138"/>
    </row>
    <row r="74" spans="1:15" ht="164.25" customHeight="1">
      <c r="A74" s="36"/>
      <c r="B74" s="35" t="s">
        <v>13</v>
      </c>
      <c r="C74" s="9" t="s">
        <v>410</v>
      </c>
      <c r="D74" s="35" t="s">
        <v>54</v>
      </c>
      <c r="E74" s="35" t="s">
        <v>712</v>
      </c>
      <c r="F74" s="9" t="s">
        <v>552</v>
      </c>
      <c r="G74" s="58" t="s">
        <v>599</v>
      </c>
      <c r="H74" s="9" t="s">
        <v>126</v>
      </c>
      <c r="I74" s="9" t="s">
        <v>212</v>
      </c>
      <c r="J74" s="43" t="s">
        <v>101</v>
      </c>
      <c r="K74" s="38" t="s">
        <v>277</v>
      </c>
      <c r="L74" s="9" t="s">
        <v>411</v>
      </c>
      <c r="M74" s="125"/>
      <c r="N74" s="125"/>
      <c r="O74" s="138"/>
    </row>
    <row r="75" spans="1:15" ht="159" customHeight="1">
      <c r="A75" s="36"/>
      <c r="B75" s="9" t="s">
        <v>13</v>
      </c>
      <c r="C75" s="9" t="s">
        <v>137</v>
      </c>
      <c r="D75" s="35" t="s">
        <v>54</v>
      </c>
      <c r="E75" s="35" t="s">
        <v>682</v>
      </c>
      <c r="F75" s="9" t="s">
        <v>553</v>
      </c>
      <c r="G75" s="64" t="s">
        <v>412</v>
      </c>
      <c r="H75" s="9" t="s">
        <v>126</v>
      </c>
      <c r="I75" s="9" t="s">
        <v>303</v>
      </c>
      <c r="J75" s="43" t="s">
        <v>101</v>
      </c>
      <c r="K75" s="38" t="s">
        <v>277</v>
      </c>
      <c r="L75" s="9" t="s">
        <v>411</v>
      </c>
      <c r="M75" s="125"/>
      <c r="N75" s="125"/>
      <c r="O75" s="138"/>
    </row>
    <row r="76" spans="1:15" ht="193.8">
      <c r="B76" s="9" t="s">
        <v>13</v>
      </c>
      <c r="C76" s="9" t="s">
        <v>137</v>
      </c>
      <c r="D76" s="35" t="s">
        <v>54</v>
      </c>
      <c r="E76" s="35" t="s">
        <v>682</v>
      </c>
      <c r="F76" s="9" t="s">
        <v>554</v>
      </c>
      <c r="G76" s="58" t="s">
        <v>413</v>
      </c>
      <c r="H76" s="9" t="s">
        <v>214</v>
      </c>
      <c r="I76" s="9" t="s">
        <v>255</v>
      </c>
      <c r="J76" s="43" t="s">
        <v>101</v>
      </c>
      <c r="K76" s="38" t="s">
        <v>278</v>
      </c>
      <c r="L76" s="9" t="s">
        <v>411</v>
      </c>
      <c r="M76" s="125"/>
      <c r="N76" s="125"/>
      <c r="O76" s="138"/>
    </row>
    <row r="77" spans="1:15" ht="247.5" customHeight="1">
      <c r="B77" s="9" t="s">
        <v>13</v>
      </c>
      <c r="C77" s="9" t="s">
        <v>137</v>
      </c>
      <c r="D77" s="35" t="s">
        <v>54</v>
      </c>
      <c r="E77" s="35" t="s">
        <v>682</v>
      </c>
      <c r="F77" s="9" t="s">
        <v>555</v>
      </c>
      <c r="G77" s="58" t="s">
        <v>539</v>
      </c>
      <c r="H77" s="9" t="s">
        <v>126</v>
      </c>
      <c r="I77" s="9" t="s">
        <v>273</v>
      </c>
      <c r="J77" s="43" t="s">
        <v>101</v>
      </c>
      <c r="K77" s="38" t="s">
        <v>276</v>
      </c>
      <c r="L77" s="9"/>
      <c r="M77" s="125"/>
      <c r="N77" s="125"/>
      <c r="O77" s="138"/>
    </row>
    <row r="78" spans="1:15" ht="204">
      <c r="B78" s="9" t="s">
        <v>13</v>
      </c>
      <c r="C78" s="9" t="s">
        <v>137</v>
      </c>
      <c r="D78" s="35" t="s">
        <v>54</v>
      </c>
      <c r="E78" s="35" t="s">
        <v>682</v>
      </c>
      <c r="F78" s="9" t="s">
        <v>556</v>
      </c>
      <c r="G78" s="58" t="s">
        <v>414</v>
      </c>
      <c r="H78" s="9" t="s">
        <v>126</v>
      </c>
      <c r="I78" s="9" t="s">
        <v>212</v>
      </c>
      <c r="J78" s="43" t="s">
        <v>101</v>
      </c>
      <c r="K78" s="38" t="s">
        <v>277</v>
      </c>
      <c r="L78" s="9" t="s">
        <v>312</v>
      </c>
      <c r="M78" s="125"/>
      <c r="N78" s="125"/>
      <c r="O78" s="138"/>
    </row>
    <row r="79" spans="1:15" ht="316.2">
      <c r="B79" s="9" t="s">
        <v>13</v>
      </c>
      <c r="C79" s="9" t="s">
        <v>137</v>
      </c>
      <c r="D79" s="35" t="s">
        <v>54</v>
      </c>
      <c r="E79" s="35" t="s">
        <v>682</v>
      </c>
      <c r="F79" s="9" t="s">
        <v>557</v>
      </c>
      <c r="G79" s="58" t="s">
        <v>447</v>
      </c>
      <c r="H79" s="9" t="s">
        <v>126</v>
      </c>
      <c r="I79" s="9" t="s">
        <v>267</v>
      </c>
      <c r="J79" s="43" t="s">
        <v>101</v>
      </c>
      <c r="K79" s="38" t="s">
        <v>279</v>
      </c>
      <c r="L79" s="9" t="s">
        <v>296</v>
      </c>
      <c r="M79" s="125"/>
      <c r="N79" s="125"/>
      <c r="O79" s="138"/>
    </row>
    <row r="80" spans="1:15" ht="224.4">
      <c r="B80" s="9" t="s">
        <v>13</v>
      </c>
      <c r="C80" s="9" t="s">
        <v>410</v>
      </c>
      <c r="D80" s="35" t="s">
        <v>54</v>
      </c>
      <c r="E80" s="35" t="s">
        <v>712</v>
      </c>
      <c r="F80" s="9" t="s">
        <v>558</v>
      </c>
      <c r="G80" s="58" t="s">
        <v>522</v>
      </c>
      <c r="H80" s="9" t="s">
        <v>89</v>
      </c>
      <c r="I80" s="9" t="s">
        <v>267</v>
      </c>
      <c r="J80" s="43" t="s">
        <v>101</v>
      </c>
      <c r="K80" s="43" t="s">
        <v>268</v>
      </c>
      <c r="L80" s="9" t="s">
        <v>296</v>
      </c>
      <c r="M80" s="125"/>
      <c r="N80" s="125"/>
      <c r="O80" s="138"/>
    </row>
    <row r="81" spans="2:15" ht="112.2">
      <c r="B81" s="9" t="s">
        <v>13</v>
      </c>
      <c r="C81" s="9" t="s">
        <v>137</v>
      </c>
      <c r="D81" s="35" t="s">
        <v>54</v>
      </c>
      <c r="E81" s="35" t="s">
        <v>682</v>
      </c>
      <c r="F81" s="9" t="s">
        <v>559</v>
      </c>
      <c r="G81" s="58" t="s">
        <v>415</v>
      </c>
      <c r="H81" s="9" t="s">
        <v>91</v>
      </c>
      <c r="I81" s="9" t="s">
        <v>255</v>
      </c>
      <c r="J81" s="43" t="s">
        <v>101</v>
      </c>
      <c r="K81" s="38" t="s">
        <v>263</v>
      </c>
      <c r="L81" s="9" t="s">
        <v>296</v>
      </c>
      <c r="M81" s="125"/>
      <c r="N81" s="125"/>
      <c r="O81" s="138"/>
    </row>
    <row r="82" spans="2:15" ht="178.5" customHeight="1">
      <c r="B82" s="9" t="s">
        <v>13</v>
      </c>
      <c r="C82" s="9" t="s">
        <v>137</v>
      </c>
      <c r="D82" s="35" t="s">
        <v>54</v>
      </c>
      <c r="E82" s="35" t="s">
        <v>682</v>
      </c>
      <c r="F82" s="9" t="s">
        <v>560</v>
      </c>
      <c r="G82" s="58" t="s">
        <v>314</v>
      </c>
      <c r="H82" s="9" t="s">
        <v>126</v>
      </c>
      <c r="I82" s="9" t="s">
        <v>212</v>
      </c>
      <c r="J82" s="43" t="s">
        <v>101</v>
      </c>
      <c r="K82" s="38" t="s">
        <v>279</v>
      </c>
      <c r="L82" s="9" t="s">
        <v>296</v>
      </c>
      <c r="M82" s="125"/>
      <c r="N82" s="125"/>
      <c r="O82" s="138"/>
    </row>
    <row r="83" spans="2:15" s="34" customFormat="1" ht="375.75" customHeight="1">
      <c r="B83" s="9" t="s">
        <v>13</v>
      </c>
      <c r="C83" s="9" t="s">
        <v>137</v>
      </c>
      <c r="D83" s="35" t="s">
        <v>54</v>
      </c>
      <c r="E83" s="35" t="s">
        <v>682</v>
      </c>
      <c r="F83" s="96" t="s">
        <v>561</v>
      </c>
      <c r="G83" s="59" t="s">
        <v>549</v>
      </c>
      <c r="H83" s="9" t="s">
        <v>126</v>
      </c>
      <c r="I83" s="9" t="s">
        <v>267</v>
      </c>
      <c r="J83" s="43" t="s">
        <v>101</v>
      </c>
      <c r="K83" s="38" t="s">
        <v>279</v>
      </c>
      <c r="L83" s="9"/>
      <c r="M83" s="136"/>
      <c r="N83" s="136"/>
      <c r="O83" s="139"/>
    </row>
    <row r="84" spans="2:15" ht="163.19999999999999">
      <c r="B84" s="9" t="s">
        <v>13</v>
      </c>
      <c r="C84" s="9" t="s">
        <v>137</v>
      </c>
      <c r="D84" s="35" t="s">
        <v>54</v>
      </c>
      <c r="E84" s="35" t="s">
        <v>682</v>
      </c>
      <c r="F84" s="9" t="s">
        <v>562</v>
      </c>
      <c r="G84" s="58" t="s">
        <v>504</v>
      </c>
      <c r="H84" s="9" t="s">
        <v>126</v>
      </c>
      <c r="I84" s="9" t="s">
        <v>212</v>
      </c>
      <c r="J84" s="43" t="s">
        <v>101</v>
      </c>
      <c r="K84" s="38" t="s">
        <v>279</v>
      </c>
      <c r="L84" s="9" t="s">
        <v>313</v>
      </c>
      <c r="M84" s="125"/>
      <c r="N84" s="125"/>
      <c r="O84" s="138"/>
    </row>
    <row r="85" spans="2:15" s="34" customFormat="1" ht="258.75" customHeight="1">
      <c r="B85" s="9" t="s">
        <v>13</v>
      </c>
      <c r="C85" s="9" t="s">
        <v>137</v>
      </c>
      <c r="D85" s="35" t="s">
        <v>54</v>
      </c>
      <c r="E85" s="35" t="s">
        <v>682</v>
      </c>
      <c r="F85" s="9" t="s">
        <v>563</v>
      </c>
      <c r="G85" s="58" t="s">
        <v>518</v>
      </c>
      <c r="H85" s="9" t="s">
        <v>126</v>
      </c>
      <c r="I85" s="9" t="s">
        <v>212</v>
      </c>
      <c r="J85" s="43" t="s">
        <v>101</v>
      </c>
      <c r="K85" s="38" t="s">
        <v>277</v>
      </c>
      <c r="L85" s="9"/>
      <c r="M85" s="136"/>
      <c r="N85" s="136"/>
      <c r="O85" s="139"/>
    </row>
    <row r="86" spans="2:15" ht="397.8">
      <c r="B86" s="9" t="s">
        <v>13</v>
      </c>
      <c r="C86" s="9" t="s">
        <v>137</v>
      </c>
      <c r="D86" s="35" t="s">
        <v>54</v>
      </c>
      <c r="E86" s="35" t="s">
        <v>682</v>
      </c>
      <c r="F86" s="96" t="s">
        <v>564</v>
      </c>
      <c r="G86" s="58" t="s">
        <v>633</v>
      </c>
      <c r="H86" s="9" t="s">
        <v>126</v>
      </c>
      <c r="I86" s="9" t="s">
        <v>212</v>
      </c>
      <c r="J86" s="43" t="s">
        <v>101</v>
      </c>
      <c r="K86" s="38" t="s">
        <v>279</v>
      </c>
      <c r="L86" s="9" t="s">
        <v>296</v>
      </c>
      <c r="M86" s="125"/>
      <c r="N86" s="125"/>
      <c r="O86" s="138"/>
    </row>
    <row r="87" spans="2:15" ht="204">
      <c r="B87" s="9" t="s">
        <v>13</v>
      </c>
      <c r="C87" s="9" t="s">
        <v>137</v>
      </c>
      <c r="D87" s="35" t="s">
        <v>54</v>
      </c>
      <c r="E87" s="35" t="s">
        <v>682</v>
      </c>
      <c r="F87" s="96" t="s">
        <v>565</v>
      </c>
      <c r="G87" s="59" t="s">
        <v>416</v>
      </c>
      <c r="H87" s="9" t="s">
        <v>126</v>
      </c>
      <c r="I87" s="9" t="s">
        <v>212</v>
      </c>
      <c r="J87" s="43" t="s">
        <v>101</v>
      </c>
      <c r="K87" s="38" t="s">
        <v>279</v>
      </c>
      <c r="L87" s="9" t="s">
        <v>296</v>
      </c>
      <c r="M87" s="125"/>
      <c r="N87" s="125"/>
      <c r="O87" s="138"/>
    </row>
    <row r="88" spans="2:15" ht="134.25" customHeight="1">
      <c r="B88" s="9" t="s">
        <v>13</v>
      </c>
      <c r="C88" s="9" t="s">
        <v>137</v>
      </c>
      <c r="D88" s="35" t="s">
        <v>54</v>
      </c>
      <c r="E88" s="35" t="s">
        <v>682</v>
      </c>
      <c r="F88" s="9" t="s">
        <v>566</v>
      </c>
      <c r="G88" s="58" t="s">
        <v>432</v>
      </c>
      <c r="H88" s="9" t="s">
        <v>126</v>
      </c>
      <c r="I88" s="9" t="s">
        <v>267</v>
      </c>
      <c r="J88" s="43" t="s">
        <v>101</v>
      </c>
      <c r="K88" s="38" t="s">
        <v>279</v>
      </c>
      <c r="L88" s="9"/>
      <c r="M88" s="125"/>
      <c r="N88" s="125"/>
      <c r="O88" s="138"/>
    </row>
    <row r="89" spans="2:15" ht="153">
      <c r="B89" s="35" t="s">
        <v>13</v>
      </c>
      <c r="C89" s="35" t="s">
        <v>109</v>
      </c>
      <c r="D89" s="35" t="s">
        <v>54</v>
      </c>
      <c r="E89" s="35" t="s">
        <v>713</v>
      </c>
      <c r="F89" s="96" t="s">
        <v>567</v>
      </c>
      <c r="G89" s="66" t="s">
        <v>503</v>
      </c>
      <c r="H89" s="9" t="s">
        <v>89</v>
      </c>
      <c r="I89" s="9" t="s">
        <v>213</v>
      </c>
      <c r="J89" s="43" t="s">
        <v>17</v>
      </c>
      <c r="K89" s="43" t="s">
        <v>272</v>
      </c>
      <c r="L89" s="9" t="s">
        <v>296</v>
      </c>
      <c r="M89" s="125"/>
      <c r="N89" s="125"/>
      <c r="O89" s="138"/>
    </row>
    <row r="90" spans="2:15" ht="94.5" customHeight="1">
      <c r="B90" s="9" t="s">
        <v>13</v>
      </c>
      <c r="C90" s="35" t="s">
        <v>109</v>
      </c>
      <c r="D90" s="35" t="s">
        <v>54</v>
      </c>
      <c r="E90" s="35" t="s">
        <v>713</v>
      </c>
      <c r="F90" s="9" t="s">
        <v>568</v>
      </c>
      <c r="G90" s="65" t="s">
        <v>445</v>
      </c>
      <c r="H90" s="9" t="s">
        <v>126</v>
      </c>
      <c r="I90" s="9" t="s">
        <v>213</v>
      </c>
      <c r="J90" s="43" t="s">
        <v>17</v>
      </c>
      <c r="K90" s="43" t="s">
        <v>258</v>
      </c>
      <c r="L90" s="9" t="s">
        <v>296</v>
      </c>
      <c r="M90" s="125"/>
      <c r="N90" s="125"/>
      <c r="O90" s="138"/>
    </row>
    <row r="91" spans="2:15" ht="336.6">
      <c r="B91" s="35" t="s">
        <v>13</v>
      </c>
      <c r="C91" s="9" t="s">
        <v>136</v>
      </c>
      <c r="D91" s="35" t="s">
        <v>54</v>
      </c>
      <c r="E91" s="35" t="s">
        <v>714</v>
      </c>
      <c r="F91" s="102" t="s">
        <v>569</v>
      </c>
      <c r="G91" s="58" t="s">
        <v>537</v>
      </c>
      <c r="H91" s="9" t="s">
        <v>127</v>
      </c>
      <c r="I91" s="9" t="s">
        <v>216</v>
      </c>
      <c r="J91" s="43" t="s">
        <v>101</v>
      </c>
      <c r="K91" s="38" t="s">
        <v>269</v>
      </c>
      <c r="L91" s="9" t="s">
        <v>417</v>
      </c>
      <c r="M91" s="125"/>
      <c r="N91" s="125"/>
      <c r="O91" s="138"/>
    </row>
    <row r="92" spans="2:15" ht="256.5" customHeight="1">
      <c r="B92" s="9" t="s">
        <v>13</v>
      </c>
      <c r="C92" s="9" t="s">
        <v>137</v>
      </c>
      <c r="D92" s="35" t="s">
        <v>54</v>
      </c>
      <c r="E92" s="35" t="s">
        <v>682</v>
      </c>
      <c r="F92" s="9" t="s">
        <v>570</v>
      </c>
      <c r="G92" s="58" t="s">
        <v>601</v>
      </c>
      <c r="H92" s="9" t="s">
        <v>127</v>
      </c>
      <c r="I92" s="9" t="s">
        <v>212</v>
      </c>
      <c r="J92" s="43" t="s">
        <v>101</v>
      </c>
      <c r="K92" s="38" t="s">
        <v>270</v>
      </c>
      <c r="L92" s="9" t="s">
        <v>296</v>
      </c>
      <c r="M92" s="125"/>
      <c r="N92" s="125"/>
      <c r="O92" s="138"/>
    </row>
    <row r="93" spans="2:15" ht="207.75" customHeight="1">
      <c r="B93" s="9" t="s">
        <v>13</v>
      </c>
      <c r="C93" s="9" t="s">
        <v>137</v>
      </c>
      <c r="D93" s="35" t="s">
        <v>54</v>
      </c>
      <c r="E93" s="35" t="s">
        <v>682</v>
      </c>
      <c r="F93" s="9" t="s">
        <v>571</v>
      </c>
      <c r="G93" s="58" t="s">
        <v>521</v>
      </c>
      <c r="H93" s="9" t="s">
        <v>127</v>
      </c>
      <c r="I93" s="9" t="s">
        <v>212</v>
      </c>
      <c r="J93" s="43" t="s">
        <v>101</v>
      </c>
      <c r="K93" s="38" t="s">
        <v>271</v>
      </c>
      <c r="L93" s="9"/>
      <c r="M93" s="125"/>
      <c r="N93" s="125"/>
      <c r="O93" s="138"/>
    </row>
    <row r="94" spans="2:15" ht="373.5" customHeight="1">
      <c r="B94" s="35" t="s">
        <v>13</v>
      </c>
      <c r="C94" s="9" t="s">
        <v>137</v>
      </c>
      <c r="D94" s="35" t="s">
        <v>54</v>
      </c>
      <c r="E94" s="35" t="s">
        <v>682</v>
      </c>
      <c r="F94" s="9" t="s">
        <v>572</v>
      </c>
      <c r="G94" s="58" t="s">
        <v>418</v>
      </c>
      <c r="H94" s="9" t="s">
        <v>126</v>
      </c>
      <c r="I94" s="9" t="s">
        <v>273</v>
      </c>
      <c r="J94" s="43" t="s">
        <v>101</v>
      </c>
      <c r="K94" s="38" t="s">
        <v>274</v>
      </c>
      <c r="L94" s="9" t="s">
        <v>296</v>
      </c>
      <c r="M94" s="125"/>
      <c r="N94" s="125"/>
      <c r="O94" s="138"/>
    </row>
    <row r="95" spans="2:15" ht="197.25" customHeight="1">
      <c r="B95" s="9" t="s">
        <v>13</v>
      </c>
      <c r="C95" s="9" t="s">
        <v>137</v>
      </c>
      <c r="D95" s="35" t="s">
        <v>54</v>
      </c>
      <c r="E95" s="35" t="s">
        <v>682</v>
      </c>
      <c r="F95" s="9" t="s">
        <v>573</v>
      </c>
      <c r="G95" s="58" t="s">
        <v>419</v>
      </c>
      <c r="H95" s="9" t="s">
        <v>126</v>
      </c>
      <c r="I95" s="9" t="s">
        <v>212</v>
      </c>
      <c r="J95" s="43" t="s">
        <v>101</v>
      </c>
      <c r="K95" s="38" t="s">
        <v>279</v>
      </c>
      <c r="L95" s="9" t="s">
        <v>296</v>
      </c>
      <c r="M95" s="125"/>
      <c r="N95" s="125"/>
      <c r="O95" s="138"/>
    </row>
    <row r="96" spans="2:15" ht="58.5" customHeight="1">
      <c r="B96" s="9" t="s">
        <v>13</v>
      </c>
      <c r="C96" s="9" t="s">
        <v>137</v>
      </c>
      <c r="D96" s="35" t="s">
        <v>54</v>
      </c>
      <c r="E96" s="35" t="s">
        <v>682</v>
      </c>
      <c r="F96" s="9" t="s">
        <v>574</v>
      </c>
      <c r="G96" s="58" t="s">
        <v>420</v>
      </c>
      <c r="H96" s="9" t="s">
        <v>126</v>
      </c>
      <c r="I96" s="9" t="s">
        <v>273</v>
      </c>
      <c r="J96" s="43" t="s">
        <v>101</v>
      </c>
      <c r="K96" s="38" t="s">
        <v>274</v>
      </c>
      <c r="L96" s="9" t="s">
        <v>296</v>
      </c>
      <c r="M96" s="125"/>
      <c r="N96" s="125"/>
      <c r="O96" s="138"/>
    </row>
    <row r="97" spans="1:15" ht="112.2">
      <c r="B97" s="9" t="s">
        <v>13</v>
      </c>
      <c r="C97" s="9" t="s">
        <v>138</v>
      </c>
      <c r="D97" s="35" t="s">
        <v>54</v>
      </c>
      <c r="E97" s="35" t="s">
        <v>715</v>
      </c>
      <c r="F97" s="9" t="s">
        <v>575</v>
      </c>
      <c r="G97" s="101" t="s">
        <v>431</v>
      </c>
      <c r="H97" s="9" t="s">
        <v>91</v>
      </c>
      <c r="I97" s="9" t="s">
        <v>255</v>
      </c>
      <c r="J97" s="43" t="s">
        <v>101</v>
      </c>
      <c r="K97" s="38" t="s">
        <v>275</v>
      </c>
      <c r="L97" s="9"/>
      <c r="M97" s="125"/>
      <c r="N97" s="125"/>
      <c r="O97" s="138"/>
    </row>
    <row r="98" spans="1:15" ht="179.25" customHeight="1">
      <c r="B98" s="9" t="s">
        <v>13</v>
      </c>
      <c r="C98" s="9" t="s">
        <v>137</v>
      </c>
      <c r="D98" s="35" t="s">
        <v>54</v>
      </c>
      <c r="E98" s="35" t="s">
        <v>682</v>
      </c>
      <c r="F98" s="9" t="s">
        <v>576</v>
      </c>
      <c r="G98" s="64" t="s">
        <v>540</v>
      </c>
      <c r="H98" s="9" t="s">
        <v>126</v>
      </c>
      <c r="I98" s="9" t="s">
        <v>212</v>
      </c>
      <c r="J98" s="43" t="s">
        <v>101</v>
      </c>
      <c r="K98" s="38" t="s">
        <v>279</v>
      </c>
      <c r="L98" s="9" t="s">
        <v>296</v>
      </c>
      <c r="M98" s="125"/>
      <c r="N98" s="125"/>
      <c r="O98" s="138"/>
    </row>
    <row r="99" spans="1:15" s="1" customFormat="1" ht="183.6">
      <c r="A99" s="5"/>
      <c r="B99" s="9" t="s">
        <v>13</v>
      </c>
      <c r="C99" s="9" t="s">
        <v>135</v>
      </c>
      <c r="D99" s="35" t="s">
        <v>54</v>
      </c>
      <c r="E99" s="35" t="s">
        <v>716</v>
      </c>
      <c r="F99" s="9" t="s">
        <v>577</v>
      </c>
      <c r="G99" s="58" t="s">
        <v>644</v>
      </c>
      <c r="H99" s="9" t="s">
        <v>126</v>
      </c>
      <c r="I99" s="9" t="s">
        <v>212</v>
      </c>
      <c r="J99" s="43" t="s">
        <v>101</v>
      </c>
      <c r="K99" s="43" t="s">
        <v>258</v>
      </c>
      <c r="L99" s="9" t="s">
        <v>296</v>
      </c>
      <c r="M99" s="126"/>
      <c r="N99" s="126"/>
      <c r="O99" s="141"/>
    </row>
    <row r="100" spans="1:15" s="1" customFormat="1" ht="228" customHeight="1">
      <c r="A100" s="5"/>
      <c r="B100" s="9" t="s">
        <v>13</v>
      </c>
      <c r="C100" s="9" t="s">
        <v>137</v>
      </c>
      <c r="D100" s="35" t="s">
        <v>54</v>
      </c>
      <c r="E100" s="35" t="s">
        <v>682</v>
      </c>
      <c r="F100" s="9" t="s">
        <v>578</v>
      </c>
      <c r="G100" s="58" t="s">
        <v>421</v>
      </c>
      <c r="H100" s="9" t="s">
        <v>126</v>
      </c>
      <c r="I100" s="9" t="s">
        <v>212</v>
      </c>
      <c r="J100" s="43" t="s">
        <v>101</v>
      </c>
      <c r="K100" s="38" t="s">
        <v>279</v>
      </c>
      <c r="L100" s="9" t="s">
        <v>296</v>
      </c>
      <c r="M100" s="126"/>
      <c r="N100" s="126"/>
      <c r="O100" s="141"/>
    </row>
    <row r="101" spans="1:15" s="1" customFormat="1" ht="216.75" customHeight="1">
      <c r="A101" s="5"/>
      <c r="B101" s="9" t="s">
        <v>13</v>
      </c>
      <c r="C101" s="9" t="s">
        <v>299</v>
      </c>
      <c r="D101" s="35" t="s">
        <v>54</v>
      </c>
      <c r="E101" s="35" t="s">
        <v>717</v>
      </c>
      <c r="F101" s="9" t="s">
        <v>579</v>
      </c>
      <c r="G101" s="58" t="s">
        <v>422</v>
      </c>
      <c r="H101" s="9" t="s">
        <v>256</v>
      </c>
      <c r="I101" s="9" t="s">
        <v>273</v>
      </c>
      <c r="J101" s="43" t="s">
        <v>101</v>
      </c>
      <c r="K101" s="38" t="s">
        <v>263</v>
      </c>
      <c r="L101" s="9" t="s">
        <v>296</v>
      </c>
      <c r="M101" s="126"/>
      <c r="N101" s="126"/>
      <c r="O101" s="141"/>
    </row>
    <row r="102" spans="1:15" s="1" customFormat="1" ht="198" customHeight="1">
      <c r="A102" s="5"/>
      <c r="B102" s="9" t="s">
        <v>13</v>
      </c>
      <c r="C102" s="9" t="s">
        <v>135</v>
      </c>
      <c r="D102" s="35" t="s">
        <v>54</v>
      </c>
      <c r="E102" s="35" t="s">
        <v>716</v>
      </c>
      <c r="F102" s="9" t="s">
        <v>580</v>
      </c>
      <c r="G102" s="58" t="s">
        <v>446</v>
      </c>
      <c r="H102" s="9" t="s">
        <v>126</v>
      </c>
      <c r="I102" s="9" t="s">
        <v>255</v>
      </c>
      <c r="J102" s="43" t="s">
        <v>101</v>
      </c>
      <c r="K102" s="38" t="s">
        <v>277</v>
      </c>
      <c r="L102" s="9"/>
      <c r="M102" s="126"/>
      <c r="N102" s="126"/>
      <c r="O102" s="141"/>
    </row>
    <row r="103" spans="1:15" ht="173.25" customHeight="1">
      <c r="B103" s="9" t="s">
        <v>13</v>
      </c>
      <c r="C103" s="9" t="s">
        <v>134</v>
      </c>
      <c r="D103" s="35" t="s">
        <v>54</v>
      </c>
      <c r="E103" s="35" t="s">
        <v>718</v>
      </c>
      <c r="F103" s="9" t="s">
        <v>581</v>
      </c>
      <c r="G103" s="58" t="s">
        <v>519</v>
      </c>
      <c r="H103" s="9" t="s">
        <v>126</v>
      </c>
      <c r="I103" s="9" t="s">
        <v>267</v>
      </c>
      <c r="J103" s="43" t="s">
        <v>101</v>
      </c>
      <c r="K103" s="38" t="s">
        <v>279</v>
      </c>
      <c r="L103" s="9" t="s">
        <v>296</v>
      </c>
      <c r="M103" s="125"/>
      <c r="N103" s="125"/>
      <c r="O103" s="138"/>
    </row>
    <row r="104" spans="1:15" ht="224.25" customHeight="1">
      <c r="B104" s="9" t="s">
        <v>13</v>
      </c>
      <c r="C104" s="9" t="s">
        <v>137</v>
      </c>
      <c r="D104" s="35" t="s">
        <v>54</v>
      </c>
      <c r="E104" s="35" t="s">
        <v>682</v>
      </c>
      <c r="F104" s="103" t="s">
        <v>582</v>
      </c>
      <c r="G104" s="58" t="s">
        <v>423</v>
      </c>
      <c r="H104" s="9" t="s">
        <v>126</v>
      </c>
      <c r="I104" s="9" t="s">
        <v>212</v>
      </c>
      <c r="J104" s="43" t="s">
        <v>101</v>
      </c>
      <c r="K104" s="38" t="s">
        <v>277</v>
      </c>
      <c r="L104" s="9"/>
      <c r="M104" s="125"/>
      <c r="N104" s="125"/>
      <c r="O104" s="138"/>
    </row>
    <row r="105" spans="1:15" ht="244.8">
      <c r="B105" s="35" t="s">
        <v>13</v>
      </c>
      <c r="C105" s="9" t="s">
        <v>139</v>
      </c>
      <c r="D105" s="35" t="s">
        <v>54</v>
      </c>
      <c r="E105" s="35" t="s">
        <v>719</v>
      </c>
      <c r="F105" s="9" t="s">
        <v>583</v>
      </c>
      <c r="G105" s="58" t="s">
        <v>424</v>
      </c>
      <c r="H105" s="9" t="s">
        <v>91</v>
      </c>
      <c r="I105" s="9" t="s">
        <v>255</v>
      </c>
      <c r="J105" s="43" t="s">
        <v>101</v>
      </c>
      <c r="K105" s="38" t="s">
        <v>275</v>
      </c>
      <c r="L105" s="9" t="s">
        <v>296</v>
      </c>
      <c r="M105" s="125"/>
      <c r="N105" s="125"/>
      <c r="O105" s="138"/>
    </row>
    <row r="106" spans="1:15" s="1" customFormat="1" ht="200.25" customHeight="1">
      <c r="A106" s="5"/>
      <c r="B106" s="9" t="s">
        <v>13</v>
      </c>
      <c r="C106" s="9" t="s">
        <v>137</v>
      </c>
      <c r="D106" s="35" t="s">
        <v>54</v>
      </c>
      <c r="E106" s="35" t="s">
        <v>682</v>
      </c>
      <c r="F106" s="9" t="s">
        <v>584</v>
      </c>
      <c r="G106" s="58" t="s">
        <v>425</v>
      </c>
      <c r="H106" s="9" t="s">
        <v>126</v>
      </c>
      <c r="I106" s="9" t="s">
        <v>273</v>
      </c>
      <c r="J106" s="43" t="s">
        <v>101</v>
      </c>
      <c r="K106" s="9" t="s">
        <v>260</v>
      </c>
      <c r="L106" s="9"/>
      <c r="M106" s="126"/>
      <c r="N106" s="126"/>
      <c r="O106" s="141"/>
    </row>
    <row r="107" spans="1:15" s="1" customFormat="1" ht="183.6">
      <c r="A107" s="5"/>
      <c r="B107" s="9" t="s">
        <v>13</v>
      </c>
      <c r="C107" s="9" t="s">
        <v>137</v>
      </c>
      <c r="D107" s="35" t="s">
        <v>54</v>
      </c>
      <c r="E107" s="35" t="s">
        <v>682</v>
      </c>
      <c r="F107" s="9" t="s">
        <v>585</v>
      </c>
      <c r="G107" s="58" t="s">
        <v>426</v>
      </c>
      <c r="H107" s="9" t="s">
        <v>92</v>
      </c>
      <c r="I107" s="9" t="s">
        <v>273</v>
      </c>
      <c r="J107" s="43" t="s">
        <v>101</v>
      </c>
      <c r="K107" s="9" t="s">
        <v>258</v>
      </c>
      <c r="L107" s="9"/>
      <c r="M107" s="126"/>
      <c r="N107" s="126"/>
      <c r="O107" s="141"/>
    </row>
    <row r="108" spans="1:15" s="1" customFormat="1" ht="346.8">
      <c r="A108" s="5"/>
      <c r="B108" s="9" t="s">
        <v>13</v>
      </c>
      <c r="C108" s="9" t="s">
        <v>137</v>
      </c>
      <c r="D108" s="35" t="s">
        <v>54</v>
      </c>
      <c r="E108" s="35" t="s">
        <v>682</v>
      </c>
      <c r="F108" s="9" t="s">
        <v>586</v>
      </c>
      <c r="G108" s="58" t="s">
        <v>498</v>
      </c>
      <c r="H108" s="9" t="s">
        <v>126</v>
      </c>
      <c r="I108" s="9" t="s">
        <v>255</v>
      </c>
      <c r="J108" s="43" t="s">
        <v>101</v>
      </c>
      <c r="K108" s="43" t="s">
        <v>260</v>
      </c>
      <c r="L108" s="9"/>
      <c r="M108" s="126"/>
      <c r="N108" s="126"/>
      <c r="O108" s="141"/>
    </row>
    <row r="109" spans="1:15" s="1" customFormat="1" ht="142.80000000000001">
      <c r="A109" s="5"/>
      <c r="B109" s="9" t="s">
        <v>13</v>
      </c>
      <c r="C109" s="9" t="s">
        <v>499</v>
      </c>
      <c r="D109" s="35" t="s">
        <v>54</v>
      </c>
      <c r="E109" s="35" t="s">
        <v>685</v>
      </c>
      <c r="F109" s="9" t="s">
        <v>592</v>
      </c>
      <c r="G109" s="58" t="s">
        <v>600</v>
      </c>
      <c r="H109" s="9" t="s">
        <v>89</v>
      </c>
      <c r="I109" s="9" t="s">
        <v>255</v>
      </c>
      <c r="J109" s="9" t="s">
        <v>17</v>
      </c>
      <c r="K109" s="9" t="s">
        <v>260</v>
      </c>
      <c r="L109" s="9"/>
      <c r="M109" s="126"/>
      <c r="N109" s="126"/>
    </row>
    <row r="110" spans="1:15" ht="228" customHeight="1">
      <c r="B110" s="9" t="s">
        <v>13</v>
      </c>
      <c r="C110" s="9" t="s">
        <v>499</v>
      </c>
      <c r="D110" s="35" t="s">
        <v>54</v>
      </c>
      <c r="E110" s="35" t="s">
        <v>685</v>
      </c>
      <c r="F110" s="9" t="s">
        <v>593</v>
      </c>
      <c r="G110" s="58" t="s">
        <v>501</v>
      </c>
      <c r="H110" s="9" t="s">
        <v>89</v>
      </c>
      <c r="I110" s="9" t="s">
        <v>255</v>
      </c>
      <c r="J110" s="9" t="s">
        <v>17</v>
      </c>
      <c r="K110" s="9" t="s">
        <v>260</v>
      </c>
      <c r="L110" s="9"/>
      <c r="M110" s="125"/>
      <c r="N110" s="125"/>
    </row>
    <row r="111" spans="1:15" s="34" customFormat="1" ht="315" customHeight="1">
      <c r="B111" s="9" t="s">
        <v>13</v>
      </c>
      <c r="C111" s="9" t="s">
        <v>137</v>
      </c>
      <c r="D111" s="35" t="s">
        <v>54</v>
      </c>
      <c r="E111" s="35" t="s">
        <v>682</v>
      </c>
      <c r="F111" s="9" t="s">
        <v>614</v>
      </c>
      <c r="G111" s="58" t="s">
        <v>615</v>
      </c>
      <c r="H111" s="9" t="s">
        <v>126</v>
      </c>
      <c r="I111" s="9" t="s">
        <v>212</v>
      </c>
      <c r="J111" s="43" t="s">
        <v>101</v>
      </c>
      <c r="K111" s="38" t="s">
        <v>277</v>
      </c>
      <c r="L111" s="9"/>
      <c r="M111" s="136"/>
      <c r="N111" s="136"/>
    </row>
    <row r="112" spans="1:15" ht="337.2" customHeight="1">
      <c r="A112" s="36"/>
      <c r="B112" s="35" t="s">
        <v>16</v>
      </c>
      <c r="C112" s="35" t="s">
        <v>140</v>
      </c>
      <c r="D112" s="35" t="s">
        <v>54</v>
      </c>
      <c r="E112" s="35" t="s">
        <v>720</v>
      </c>
      <c r="F112" s="105" t="s">
        <v>151</v>
      </c>
      <c r="G112" s="65" t="s">
        <v>608</v>
      </c>
      <c r="H112" s="9" t="s">
        <v>91</v>
      </c>
      <c r="I112" s="9" t="s">
        <v>255</v>
      </c>
      <c r="J112" s="9" t="s">
        <v>280</v>
      </c>
      <c r="K112" s="9" t="s">
        <v>263</v>
      </c>
      <c r="L112" s="38"/>
      <c r="M112" s="125"/>
      <c r="N112" s="125"/>
    </row>
    <row r="113" spans="1:14" ht="135" customHeight="1">
      <c r="B113" s="35" t="s">
        <v>16</v>
      </c>
      <c r="C113" s="35" t="s">
        <v>140</v>
      </c>
      <c r="D113" s="35" t="s">
        <v>54</v>
      </c>
      <c r="E113" s="35" t="s">
        <v>720</v>
      </c>
      <c r="F113" s="9" t="s">
        <v>158</v>
      </c>
      <c r="G113" s="98" t="s">
        <v>448</v>
      </c>
      <c r="H113" s="9" t="s">
        <v>126</v>
      </c>
      <c r="I113" s="9" t="s">
        <v>212</v>
      </c>
      <c r="J113" s="9" t="s">
        <v>280</v>
      </c>
      <c r="K113" s="9" t="s">
        <v>449</v>
      </c>
      <c r="L113" s="38"/>
      <c r="M113" s="125"/>
      <c r="N113" s="125"/>
    </row>
    <row r="114" spans="1:14" ht="163.19999999999999">
      <c r="A114" s="36"/>
      <c r="B114" s="35" t="s">
        <v>16</v>
      </c>
      <c r="C114" s="35" t="s">
        <v>140</v>
      </c>
      <c r="D114" s="35" t="s">
        <v>54</v>
      </c>
      <c r="E114" s="35" t="s">
        <v>720</v>
      </c>
      <c r="F114" s="9" t="s">
        <v>152</v>
      </c>
      <c r="G114" s="65" t="s">
        <v>523</v>
      </c>
      <c r="H114" s="9" t="s">
        <v>91</v>
      </c>
      <c r="I114" s="9" t="s">
        <v>213</v>
      </c>
      <c r="J114" s="9" t="s">
        <v>280</v>
      </c>
      <c r="K114" s="9" t="s">
        <v>263</v>
      </c>
      <c r="L114" s="38"/>
      <c r="M114" s="125"/>
      <c r="N114" s="125"/>
    </row>
    <row r="115" spans="1:14" ht="142.80000000000001">
      <c r="B115" s="35" t="s">
        <v>16</v>
      </c>
      <c r="C115" s="35" t="s">
        <v>140</v>
      </c>
      <c r="D115" s="35" t="s">
        <v>54</v>
      </c>
      <c r="E115" s="35" t="s">
        <v>720</v>
      </c>
      <c r="F115" s="9" t="s">
        <v>154</v>
      </c>
      <c r="G115" s="98" t="s">
        <v>524</v>
      </c>
      <c r="H115" s="9" t="s">
        <v>91</v>
      </c>
      <c r="I115" s="9" t="s">
        <v>273</v>
      </c>
      <c r="J115" s="9" t="s">
        <v>280</v>
      </c>
      <c r="K115" s="9" t="s">
        <v>281</v>
      </c>
      <c r="L115" s="38"/>
      <c r="M115" s="125"/>
      <c r="N115" s="125"/>
    </row>
    <row r="116" spans="1:14" ht="290.25" customHeight="1">
      <c r="B116" s="35" t="s">
        <v>16</v>
      </c>
      <c r="C116" s="35" t="s">
        <v>140</v>
      </c>
      <c r="D116" s="35" t="s">
        <v>54</v>
      </c>
      <c r="E116" s="35" t="s">
        <v>720</v>
      </c>
      <c r="F116" s="9" t="s">
        <v>155</v>
      </c>
      <c r="G116" s="65" t="s">
        <v>450</v>
      </c>
      <c r="H116" s="9" t="s">
        <v>126</v>
      </c>
      <c r="I116" s="9" t="s">
        <v>255</v>
      </c>
      <c r="J116" s="9" t="s">
        <v>280</v>
      </c>
      <c r="K116" s="9" t="s">
        <v>281</v>
      </c>
      <c r="L116" s="38"/>
      <c r="M116" s="125"/>
      <c r="N116" s="125"/>
    </row>
    <row r="117" spans="1:14" ht="384" customHeight="1">
      <c r="B117" s="35" t="s">
        <v>16</v>
      </c>
      <c r="C117" s="35" t="s">
        <v>140</v>
      </c>
      <c r="D117" s="35" t="s">
        <v>54</v>
      </c>
      <c r="E117" s="35" t="s">
        <v>720</v>
      </c>
      <c r="F117" s="9" t="s">
        <v>156</v>
      </c>
      <c r="G117" s="98" t="s">
        <v>451</v>
      </c>
      <c r="H117" s="9" t="s">
        <v>126</v>
      </c>
      <c r="I117" s="9" t="s">
        <v>213</v>
      </c>
      <c r="J117" s="9" t="s">
        <v>280</v>
      </c>
      <c r="K117" s="9" t="s">
        <v>281</v>
      </c>
      <c r="L117" s="38" t="s">
        <v>296</v>
      </c>
      <c r="M117" s="125"/>
      <c r="N117" s="125"/>
    </row>
    <row r="118" spans="1:14" ht="51">
      <c r="B118" s="35" t="s">
        <v>16</v>
      </c>
      <c r="C118" s="9" t="s">
        <v>136</v>
      </c>
      <c r="D118" s="35" t="s">
        <v>54</v>
      </c>
      <c r="E118" s="35" t="s">
        <v>714</v>
      </c>
      <c r="F118" s="9" t="s">
        <v>157</v>
      </c>
      <c r="G118" s="98" t="s">
        <v>452</v>
      </c>
      <c r="H118" s="9" t="s">
        <v>126</v>
      </c>
      <c r="I118" s="9" t="s">
        <v>255</v>
      </c>
      <c r="J118" s="9" t="s">
        <v>280</v>
      </c>
      <c r="K118" s="9" t="s">
        <v>281</v>
      </c>
      <c r="L118" s="38"/>
      <c r="M118" s="125"/>
      <c r="N118" s="125"/>
    </row>
    <row r="119" spans="1:14" ht="195" customHeight="1">
      <c r="B119" s="35" t="s">
        <v>16</v>
      </c>
      <c r="C119" s="35" t="s">
        <v>140</v>
      </c>
      <c r="D119" s="35" t="s">
        <v>54</v>
      </c>
      <c r="E119" s="35" t="s">
        <v>720</v>
      </c>
      <c r="F119" s="9" t="s">
        <v>160</v>
      </c>
      <c r="G119" s="58" t="s">
        <v>453</v>
      </c>
      <c r="H119" s="9" t="s">
        <v>256</v>
      </c>
      <c r="I119" s="9" t="s">
        <v>255</v>
      </c>
      <c r="J119" s="9" t="s">
        <v>280</v>
      </c>
      <c r="K119" s="9" t="s">
        <v>258</v>
      </c>
      <c r="L119" s="38"/>
      <c r="M119" s="125"/>
      <c r="N119" s="125"/>
    </row>
    <row r="120" spans="1:14" ht="157.5" customHeight="1">
      <c r="B120" s="35" t="s">
        <v>16</v>
      </c>
      <c r="C120" s="35" t="s">
        <v>140</v>
      </c>
      <c r="D120" s="35" t="s">
        <v>54</v>
      </c>
      <c r="E120" s="35" t="s">
        <v>720</v>
      </c>
      <c r="F120" s="9" t="s">
        <v>161</v>
      </c>
      <c r="G120" s="65" t="s">
        <v>454</v>
      </c>
      <c r="H120" s="9" t="s">
        <v>256</v>
      </c>
      <c r="I120" s="9" t="s">
        <v>255</v>
      </c>
      <c r="J120" s="9" t="s">
        <v>280</v>
      </c>
      <c r="K120" s="9" t="s">
        <v>258</v>
      </c>
      <c r="L120" s="38"/>
      <c r="M120" s="125"/>
      <c r="N120" s="125"/>
    </row>
    <row r="121" spans="1:14" ht="149.25" customHeight="1">
      <c r="B121" s="35" t="s">
        <v>16</v>
      </c>
      <c r="C121" s="9" t="s">
        <v>136</v>
      </c>
      <c r="D121" s="35" t="s">
        <v>54</v>
      </c>
      <c r="E121" s="35" t="s">
        <v>714</v>
      </c>
      <c r="F121" s="9" t="s">
        <v>162</v>
      </c>
      <c r="G121" s="65" t="s">
        <v>604</v>
      </c>
      <c r="H121" s="9" t="s">
        <v>126</v>
      </c>
      <c r="I121" s="9" t="s">
        <v>273</v>
      </c>
      <c r="J121" s="9" t="s">
        <v>280</v>
      </c>
      <c r="K121" s="9" t="s">
        <v>282</v>
      </c>
      <c r="L121" s="38"/>
      <c r="M121" s="125"/>
      <c r="N121" s="125"/>
    </row>
    <row r="122" spans="1:14" ht="56.25" customHeight="1">
      <c r="B122" s="35" t="s">
        <v>16</v>
      </c>
      <c r="C122" s="9" t="s">
        <v>136</v>
      </c>
      <c r="D122" s="35" t="s">
        <v>54</v>
      </c>
      <c r="E122" s="35" t="s">
        <v>714</v>
      </c>
      <c r="F122" s="9" t="s">
        <v>163</v>
      </c>
      <c r="G122" s="65" t="s">
        <v>128</v>
      </c>
      <c r="H122" s="9" t="s">
        <v>89</v>
      </c>
      <c r="I122" s="9" t="s">
        <v>254</v>
      </c>
      <c r="J122" s="9" t="s">
        <v>280</v>
      </c>
      <c r="K122" s="9" t="s">
        <v>282</v>
      </c>
      <c r="L122" s="38"/>
      <c r="M122" s="125"/>
      <c r="N122" s="125"/>
    </row>
    <row r="123" spans="1:14" ht="84" customHeight="1">
      <c r="B123" s="35" t="s">
        <v>16</v>
      </c>
      <c r="C123" s="9" t="s">
        <v>144</v>
      </c>
      <c r="D123" s="35" t="s">
        <v>54</v>
      </c>
      <c r="E123" s="35" t="s">
        <v>721</v>
      </c>
      <c r="F123" s="9" t="s">
        <v>164</v>
      </c>
      <c r="G123" s="65" t="s">
        <v>231</v>
      </c>
      <c r="H123" s="9" t="s">
        <v>126</v>
      </c>
      <c r="I123" s="9" t="s">
        <v>254</v>
      </c>
      <c r="J123" s="9" t="s">
        <v>280</v>
      </c>
      <c r="K123" s="9" t="s">
        <v>263</v>
      </c>
      <c r="L123" s="38"/>
      <c r="M123" s="125"/>
      <c r="N123" s="125"/>
    </row>
    <row r="124" spans="1:14" ht="105" customHeight="1">
      <c r="B124" s="35" t="s">
        <v>16</v>
      </c>
      <c r="C124" s="9" t="s">
        <v>136</v>
      </c>
      <c r="D124" s="35" t="s">
        <v>54</v>
      </c>
      <c r="E124" s="35" t="s">
        <v>714</v>
      </c>
      <c r="F124" s="9" t="s">
        <v>165</v>
      </c>
      <c r="G124" s="65" t="s">
        <v>455</v>
      </c>
      <c r="H124" s="9" t="s">
        <v>256</v>
      </c>
      <c r="I124" s="9" t="s">
        <v>254</v>
      </c>
      <c r="J124" s="9" t="s">
        <v>280</v>
      </c>
      <c r="K124" s="9" t="s">
        <v>263</v>
      </c>
      <c r="L124" s="38"/>
      <c r="M124" s="125"/>
      <c r="N124" s="125"/>
    </row>
    <row r="125" spans="1:14" ht="387.6">
      <c r="B125" s="35" t="s">
        <v>16</v>
      </c>
      <c r="C125" s="9" t="s">
        <v>143</v>
      </c>
      <c r="D125" s="35" t="s">
        <v>54</v>
      </c>
      <c r="E125" s="35" t="s">
        <v>722</v>
      </c>
      <c r="F125" s="9" t="s">
        <v>166</v>
      </c>
      <c r="G125" s="65" t="s">
        <v>456</v>
      </c>
      <c r="H125" s="9" t="s">
        <v>256</v>
      </c>
      <c r="I125" s="9" t="s">
        <v>254</v>
      </c>
      <c r="J125" s="9" t="s">
        <v>280</v>
      </c>
      <c r="K125" s="9" t="s">
        <v>263</v>
      </c>
      <c r="L125" s="38"/>
      <c r="M125" s="125"/>
      <c r="N125" s="125"/>
    </row>
    <row r="126" spans="1:14" ht="156" customHeight="1">
      <c r="B126" s="35" t="s">
        <v>16</v>
      </c>
      <c r="C126" s="35" t="s">
        <v>140</v>
      </c>
      <c r="D126" s="35" t="s">
        <v>54</v>
      </c>
      <c r="E126" s="35" t="s">
        <v>720</v>
      </c>
      <c r="F126" s="96" t="s">
        <v>311</v>
      </c>
      <c r="G126" s="98" t="s">
        <v>457</v>
      </c>
      <c r="H126" s="109" t="s">
        <v>91</v>
      </c>
      <c r="I126" s="9" t="s">
        <v>213</v>
      </c>
      <c r="J126" s="9" t="s">
        <v>280</v>
      </c>
      <c r="K126" s="9" t="s">
        <v>263</v>
      </c>
      <c r="L126" s="38"/>
      <c r="M126" s="125"/>
      <c r="N126" s="125"/>
    </row>
    <row r="127" spans="1:14" ht="217.5" customHeight="1">
      <c r="A127" s="36"/>
      <c r="B127" s="35" t="s">
        <v>16</v>
      </c>
      <c r="C127" s="35" t="s">
        <v>141</v>
      </c>
      <c r="D127" s="35" t="s">
        <v>54</v>
      </c>
      <c r="E127" s="35" t="s">
        <v>723</v>
      </c>
      <c r="F127" s="9" t="s">
        <v>153</v>
      </c>
      <c r="G127" s="98" t="s">
        <v>458</v>
      </c>
      <c r="H127" s="9" t="s">
        <v>92</v>
      </c>
      <c r="I127" s="9" t="s">
        <v>213</v>
      </c>
      <c r="J127" s="9" t="s">
        <v>280</v>
      </c>
      <c r="K127" s="9" t="s">
        <v>281</v>
      </c>
      <c r="L127" s="38"/>
      <c r="M127" s="125"/>
      <c r="N127" s="125"/>
    </row>
    <row r="128" spans="1:14" ht="163.19999999999999">
      <c r="B128" s="35" t="s">
        <v>16</v>
      </c>
      <c r="C128" s="9" t="s">
        <v>142</v>
      </c>
      <c r="D128" s="35" t="s">
        <v>54</v>
      </c>
      <c r="E128" s="35" t="s">
        <v>724</v>
      </c>
      <c r="F128" s="9" t="s">
        <v>159</v>
      </c>
      <c r="G128" s="98" t="s">
        <v>526</v>
      </c>
      <c r="H128" s="9" t="s">
        <v>91</v>
      </c>
      <c r="I128" s="9" t="s">
        <v>213</v>
      </c>
      <c r="J128" s="9" t="s">
        <v>280</v>
      </c>
      <c r="K128" s="9" t="s">
        <v>258</v>
      </c>
      <c r="L128" s="38"/>
      <c r="M128" s="125"/>
      <c r="N128" s="125"/>
    </row>
    <row r="129" spans="1:21" ht="242.25" customHeight="1">
      <c r="A129" s="36"/>
      <c r="B129" s="67" t="s">
        <v>38</v>
      </c>
      <c r="C129" s="68" t="s">
        <v>29</v>
      </c>
      <c r="D129" s="67" t="s">
        <v>54</v>
      </c>
      <c r="E129" s="67" t="s">
        <v>725</v>
      </c>
      <c r="F129" s="69" t="s">
        <v>167</v>
      </c>
      <c r="G129" s="65" t="s">
        <v>459</v>
      </c>
      <c r="H129" s="9" t="s">
        <v>89</v>
      </c>
      <c r="I129" s="9" t="s">
        <v>213</v>
      </c>
      <c r="J129" s="70" t="s">
        <v>284</v>
      </c>
      <c r="K129" s="70" t="s">
        <v>258</v>
      </c>
      <c r="L129" s="6" t="s">
        <v>296</v>
      </c>
      <c r="M129" s="125"/>
      <c r="N129" s="125"/>
      <c r="P129" s="5" t="s">
        <v>594</v>
      </c>
    </row>
    <row r="130" spans="1:21" ht="150.75" customHeight="1">
      <c r="A130" s="36"/>
      <c r="B130" s="67" t="s">
        <v>38</v>
      </c>
      <c r="C130" s="68" t="s">
        <v>29</v>
      </c>
      <c r="D130" s="67" t="s">
        <v>54</v>
      </c>
      <c r="E130" s="67" t="s">
        <v>725</v>
      </c>
      <c r="F130" s="69" t="s">
        <v>168</v>
      </c>
      <c r="G130" s="108" t="s">
        <v>318</v>
      </c>
      <c r="H130" s="9" t="s">
        <v>89</v>
      </c>
      <c r="I130" s="9" t="s">
        <v>213</v>
      </c>
      <c r="J130" s="70" t="s">
        <v>284</v>
      </c>
      <c r="K130" s="70" t="s">
        <v>258</v>
      </c>
      <c r="L130" s="69"/>
      <c r="M130" s="125"/>
      <c r="N130" s="125"/>
      <c r="P130" s="5" t="s">
        <v>300</v>
      </c>
    </row>
    <row r="131" spans="1:21" ht="108" customHeight="1">
      <c r="A131" s="36"/>
      <c r="B131" s="67" t="s">
        <v>38</v>
      </c>
      <c r="C131" s="68" t="s">
        <v>29</v>
      </c>
      <c r="D131" s="67" t="s">
        <v>54</v>
      </c>
      <c r="E131" s="67" t="s">
        <v>725</v>
      </c>
      <c r="F131" s="69" t="s">
        <v>169</v>
      </c>
      <c r="G131" s="108" t="s">
        <v>460</v>
      </c>
      <c r="H131" s="9" t="s">
        <v>92</v>
      </c>
      <c r="I131" s="9" t="s">
        <v>213</v>
      </c>
      <c r="J131" s="70" t="s">
        <v>284</v>
      </c>
      <c r="K131" s="70" t="s">
        <v>283</v>
      </c>
      <c r="L131" s="69"/>
      <c r="M131" s="125"/>
      <c r="N131" s="125"/>
      <c r="P131" s="5" t="s">
        <v>595</v>
      </c>
    </row>
    <row r="132" spans="1:21" ht="160.5" customHeight="1">
      <c r="A132" s="36"/>
      <c r="B132" s="67" t="s">
        <v>38</v>
      </c>
      <c r="C132" s="68" t="s">
        <v>130</v>
      </c>
      <c r="D132" s="67" t="s">
        <v>54</v>
      </c>
      <c r="E132" s="67" t="s">
        <v>726</v>
      </c>
      <c r="F132" s="69" t="s">
        <v>170</v>
      </c>
      <c r="G132" s="108" t="s">
        <v>461</v>
      </c>
      <c r="H132" s="9" t="s">
        <v>126</v>
      </c>
      <c r="I132" s="9" t="s">
        <v>213</v>
      </c>
      <c r="J132" s="70" t="s">
        <v>284</v>
      </c>
      <c r="K132" s="70" t="s">
        <v>283</v>
      </c>
      <c r="L132" s="69"/>
      <c r="M132" s="125"/>
      <c r="N132" s="125"/>
      <c r="P132" s="5" t="s">
        <v>596</v>
      </c>
    </row>
    <row r="133" spans="1:21" ht="121.5" customHeight="1">
      <c r="A133" s="36"/>
      <c r="B133" s="67" t="s">
        <v>38</v>
      </c>
      <c r="C133" s="68" t="s">
        <v>130</v>
      </c>
      <c r="D133" s="67" t="s">
        <v>54</v>
      </c>
      <c r="E133" s="67" t="s">
        <v>726</v>
      </c>
      <c r="F133" s="69" t="s">
        <v>171</v>
      </c>
      <c r="G133" s="65" t="s">
        <v>544</v>
      </c>
      <c r="H133" s="9" t="s">
        <v>91</v>
      </c>
      <c r="I133" s="9" t="s">
        <v>213</v>
      </c>
      <c r="J133" s="70" t="s">
        <v>284</v>
      </c>
      <c r="K133" s="70" t="s">
        <v>283</v>
      </c>
      <c r="L133" s="69" t="s">
        <v>296</v>
      </c>
      <c r="M133" s="125"/>
      <c r="N133" s="125"/>
    </row>
    <row r="134" spans="1:21" ht="180.75" customHeight="1">
      <c r="A134" s="36"/>
      <c r="B134" s="67" t="s">
        <v>38</v>
      </c>
      <c r="C134" s="68" t="s">
        <v>130</v>
      </c>
      <c r="D134" s="67" t="s">
        <v>54</v>
      </c>
      <c r="E134" s="67" t="s">
        <v>726</v>
      </c>
      <c r="F134" s="69" t="s">
        <v>172</v>
      </c>
      <c r="G134" s="65" t="s">
        <v>462</v>
      </c>
      <c r="H134" s="9" t="s">
        <v>91</v>
      </c>
      <c r="I134" s="9" t="s">
        <v>213</v>
      </c>
      <c r="J134" s="70" t="s">
        <v>284</v>
      </c>
      <c r="K134" s="70" t="s">
        <v>283</v>
      </c>
      <c r="L134" s="69"/>
      <c r="M134" s="125"/>
      <c r="N134" s="125"/>
    </row>
    <row r="135" spans="1:21" ht="69" customHeight="1">
      <c r="A135" s="36"/>
      <c r="B135" s="67" t="s">
        <v>38</v>
      </c>
      <c r="C135" s="68" t="s">
        <v>130</v>
      </c>
      <c r="D135" s="67" t="s">
        <v>54</v>
      </c>
      <c r="E135" s="67" t="s">
        <v>726</v>
      </c>
      <c r="F135" s="69" t="s">
        <v>173</v>
      </c>
      <c r="G135" s="65" t="s">
        <v>133</v>
      </c>
      <c r="H135" s="9" t="s">
        <v>91</v>
      </c>
      <c r="I135" s="9" t="s">
        <v>213</v>
      </c>
      <c r="J135" s="70" t="s">
        <v>284</v>
      </c>
      <c r="K135" s="70" t="s">
        <v>283</v>
      </c>
      <c r="L135" s="69"/>
      <c r="M135" s="125"/>
      <c r="N135" s="125"/>
    </row>
    <row r="136" spans="1:21" ht="75" customHeight="1">
      <c r="A136" s="36"/>
      <c r="B136" s="67" t="s">
        <v>38</v>
      </c>
      <c r="C136" s="68" t="s">
        <v>130</v>
      </c>
      <c r="D136" s="67" t="s">
        <v>54</v>
      </c>
      <c r="E136" s="67" t="s">
        <v>726</v>
      </c>
      <c r="F136" s="69" t="s">
        <v>174</v>
      </c>
      <c r="G136" s="65" t="s">
        <v>315</v>
      </c>
      <c r="H136" s="9" t="s">
        <v>126</v>
      </c>
      <c r="I136" s="9" t="s">
        <v>213</v>
      </c>
      <c r="J136" s="70" t="s">
        <v>17</v>
      </c>
      <c r="K136" s="70" t="s">
        <v>258</v>
      </c>
      <c r="L136" s="69"/>
      <c r="M136" s="125"/>
      <c r="N136" s="125"/>
    </row>
    <row r="137" spans="1:21" ht="120.75" customHeight="1">
      <c r="A137" s="36"/>
      <c r="B137" s="67" t="s">
        <v>38</v>
      </c>
      <c r="C137" s="68" t="s">
        <v>547</v>
      </c>
      <c r="D137" s="67" t="s">
        <v>54</v>
      </c>
      <c r="E137" s="67" t="s">
        <v>727</v>
      </c>
      <c r="F137" s="69" t="s">
        <v>650</v>
      </c>
      <c r="G137" s="65" t="s">
        <v>545</v>
      </c>
      <c r="H137" s="9" t="s">
        <v>126</v>
      </c>
      <c r="I137" s="9" t="s">
        <v>213</v>
      </c>
      <c r="J137" s="70" t="s">
        <v>17</v>
      </c>
      <c r="K137" s="70" t="s">
        <v>546</v>
      </c>
      <c r="L137" s="69"/>
      <c r="M137" s="125"/>
      <c r="N137" s="125"/>
    </row>
    <row r="138" spans="1:21" ht="244.8">
      <c r="A138" s="36"/>
      <c r="B138" s="79" t="s">
        <v>25</v>
      </c>
      <c r="C138" s="79" t="s">
        <v>219</v>
      </c>
      <c r="D138" s="79" t="s">
        <v>54</v>
      </c>
      <c r="E138" s="79" t="s">
        <v>728</v>
      </c>
      <c r="F138" s="79" t="s">
        <v>232</v>
      </c>
      <c r="G138" s="110" t="s">
        <v>468</v>
      </c>
      <c r="H138" s="9" t="s">
        <v>126</v>
      </c>
      <c r="I138" s="9" t="s">
        <v>273</v>
      </c>
      <c r="J138" s="9" t="s">
        <v>287</v>
      </c>
      <c r="K138" s="9" t="s">
        <v>274</v>
      </c>
      <c r="L138" s="9" t="s">
        <v>469</v>
      </c>
      <c r="M138" s="9"/>
      <c r="N138" s="9"/>
      <c r="O138" s="142" t="s">
        <v>597</v>
      </c>
      <c r="P138" s="9" t="s">
        <v>651</v>
      </c>
      <c r="T138" s="5" t="s">
        <v>594</v>
      </c>
      <c r="U138" s="5" t="s">
        <v>597</v>
      </c>
    </row>
    <row r="139" spans="1:21" ht="247.95" customHeight="1">
      <c r="A139" s="36"/>
      <c r="B139" s="79" t="s">
        <v>3</v>
      </c>
      <c r="C139" s="80" t="s">
        <v>288</v>
      </c>
      <c r="D139" s="79" t="s">
        <v>54</v>
      </c>
      <c r="E139" s="79" t="s">
        <v>729</v>
      </c>
      <c r="F139" s="79" t="s">
        <v>233</v>
      </c>
      <c r="G139" s="110" t="s">
        <v>470</v>
      </c>
      <c r="H139" s="9" t="s">
        <v>126</v>
      </c>
      <c r="I139" s="9" t="s">
        <v>255</v>
      </c>
      <c r="J139" s="9" t="s">
        <v>17</v>
      </c>
      <c r="K139" s="9" t="s">
        <v>274</v>
      </c>
      <c r="L139" s="9"/>
      <c r="M139" s="9"/>
      <c r="N139" s="9"/>
      <c r="O139" s="142" t="s">
        <v>597</v>
      </c>
      <c r="P139" s="9" t="s">
        <v>653</v>
      </c>
      <c r="T139" s="5" t="s">
        <v>300</v>
      </c>
      <c r="U139" s="5" t="s">
        <v>15</v>
      </c>
    </row>
    <row r="140" spans="1:21" ht="292.5" customHeight="1">
      <c r="A140" s="36"/>
      <c r="B140" s="79" t="s">
        <v>3</v>
      </c>
      <c r="C140" s="79" t="s">
        <v>496</v>
      </c>
      <c r="D140" s="79" t="s">
        <v>54</v>
      </c>
      <c r="E140" s="79" t="s">
        <v>730</v>
      </c>
      <c r="F140" s="79" t="s">
        <v>234</v>
      </c>
      <c r="G140" s="110" t="s">
        <v>471</v>
      </c>
      <c r="H140" s="9" t="s">
        <v>126</v>
      </c>
      <c r="I140" s="9" t="s">
        <v>273</v>
      </c>
      <c r="J140" s="9" t="s">
        <v>280</v>
      </c>
      <c r="K140" s="9" t="s">
        <v>274</v>
      </c>
      <c r="L140" s="9"/>
      <c r="M140" s="9"/>
      <c r="N140" s="9"/>
      <c r="O140" s="142" t="s">
        <v>597</v>
      </c>
      <c r="P140" s="9" t="s">
        <v>654</v>
      </c>
      <c r="T140" s="5" t="s">
        <v>595</v>
      </c>
      <c r="U140" s="5" t="s">
        <v>598</v>
      </c>
    </row>
    <row r="141" spans="1:21" ht="183.6">
      <c r="A141" s="36"/>
      <c r="B141" s="79" t="s">
        <v>3</v>
      </c>
      <c r="C141" s="79" t="s">
        <v>114</v>
      </c>
      <c r="D141" s="79" t="s">
        <v>54</v>
      </c>
      <c r="E141" s="79" t="s">
        <v>731</v>
      </c>
      <c r="F141" s="79" t="s">
        <v>235</v>
      </c>
      <c r="G141" s="110" t="s">
        <v>472</v>
      </c>
      <c r="H141" s="9" t="s">
        <v>126</v>
      </c>
      <c r="I141" s="9" t="s">
        <v>255</v>
      </c>
      <c r="J141" s="9" t="s">
        <v>280</v>
      </c>
      <c r="K141" s="9" t="s">
        <v>274</v>
      </c>
      <c r="L141" s="9" t="s">
        <v>302</v>
      </c>
      <c r="M141" s="9"/>
      <c r="N141" s="9"/>
      <c r="O141" s="142" t="s">
        <v>597</v>
      </c>
      <c r="P141" s="9" t="s">
        <v>654</v>
      </c>
      <c r="T141" s="5" t="s">
        <v>596</v>
      </c>
      <c r="U141" s="5" t="s">
        <v>678</v>
      </c>
    </row>
    <row r="142" spans="1:21" ht="146.25" customHeight="1">
      <c r="A142" s="36"/>
      <c r="B142" s="79" t="s">
        <v>25</v>
      </c>
      <c r="C142" s="79" t="s">
        <v>60</v>
      </c>
      <c r="D142" s="79" t="s">
        <v>54</v>
      </c>
      <c r="E142" s="79" t="s">
        <v>732</v>
      </c>
      <c r="F142" s="79" t="s">
        <v>236</v>
      </c>
      <c r="G142" s="111" t="s">
        <v>344</v>
      </c>
      <c r="H142" s="9" t="s">
        <v>126</v>
      </c>
      <c r="I142" s="9" t="s">
        <v>273</v>
      </c>
      <c r="J142" s="9" t="s">
        <v>280</v>
      </c>
      <c r="K142" s="9" t="s">
        <v>274</v>
      </c>
      <c r="L142" s="9" t="s">
        <v>302</v>
      </c>
      <c r="M142" s="9"/>
      <c r="N142" s="9"/>
      <c r="O142" s="142" t="s">
        <v>597</v>
      </c>
      <c r="P142" s="9" t="s">
        <v>654</v>
      </c>
    </row>
    <row r="143" spans="1:21" ht="146.25" customHeight="1">
      <c r="A143" s="36"/>
      <c r="B143" s="79" t="s">
        <v>3</v>
      </c>
      <c r="C143" s="79" t="s">
        <v>115</v>
      </c>
      <c r="D143" s="79" t="s">
        <v>54</v>
      </c>
      <c r="E143" s="79" t="s">
        <v>733</v>
      </c>
      <c r="F143" s="79" t="s">
        <v>389</v>
      </c>
      <c r="G143" s="111" t="s">
        <v>343</v>
      </c>
      <c r="H143" s="9" t="s">
        <v>91</v>
      </c>
      <c r="I143" s="9" t="s">
        <v>273</v>
      </c>
      <c r="J143" s="9" t="s">
        <v>280</v>
      </c>
      <c r="K143" s="9" t="s">
        <v>274</v>
      </c>
      <c r="L143" s="9"/>
      <c r="M143" s="9"/>
      <c r="N143" s="9"/>
      <c r="O143" s="142" t="s">
        <v>597</v>
      </c>
      <c r="P143" s="9" t="s">
        <v>654</v>
      </c>
    </row>
    <row r="144" spans="1:21" ht="252.6" customHeight="1">
      <c r="A144" s="36"/>
      <c r="B144" s="79" t="s">
        <v>25</v>
      </c>
      <c r="C144" s="79" t="s">
        <v>220</v>
      </c>
      <c r="D144" s="79" t="s">
        <v>54</v>
      </c>
      <c r="E144" s="79" t="s">
        <v>748</v>
      </c>
      <c r="F144" s="79" t="s">
        <v>390</v>
      </c>
      <c r="G144" s="110" t="s">
        <v>527</v>
      </c>
      <c r="H144" s="9" t="s">
        <v>126</v>
      </c>
      <c r="I144" s="9" t="s">
        <v>267</v>
      </c>
      <c r="J144" s="9" t="s">
        <v>280</v>
      </c>
      <c r="K144" s="9" t="s">
        <v>274</v>
      </c>
      <c r="L144" s="9" t="s">
        <v>302</v>
      </c>
      <c r="M144" s="9"/>
      <c r="N144" s="9"/>
      <c r="O144" s="142" t="s">
        <v>597</v>
      </c>
      <c r="P144" s="9" t="s">
        <v>754</v>
      </c>
    </row>
    <row r="145" spans="1:16" ht="346.8">
      <c r="A145" s="36"/>
      <c r="B145" s="79" t="s">
        <v>25</v>
      </c>
      <c r="C145" s="79" t="s">
        <v>221</v>
      </c>
      <c r="D145" s="79" t="s">
        <v>54</v>
      </c>
      <c r="E145" s="79" t="s">
        <v>749</v>
      </c>
      <c r="F145" s="79" t="s">
        <v>237</v>
      </c>
      <c r="G145" s="110" t="s">
        <v>473</v>
      </c>
      <c r="H145" s="9" t="s">
        <v>126</v>
      </c>
      <c r="I145" s="9" t="s">
        <v>273</v>
      </c>
      <c r="J145" s="9" t="s">
        <v>280</v>
      </c>
      <c r="K145" s="9" t="s">
        <v>274</v>
      </c>
      <c r="L145" s="9"/>
      <c r="M145" s="9"/>
      <c r="N145" s="9"/>
      <c r="O145" s="142" t="s">
        <v>597</v>
      </c>
      <c r="P145" s="9" t="s">
        <v>755</v>
      </c>
    </row>
    <row r="146" spans="1:16" ht="102">
      <c r="A146" s="36"/>
      <c r="B146" s="79" t="s">
        <v>25</v>
      </c>
      <c r="C146" s="79" t="s">
        <v>222</v>
      </c>
      <c r="D146" s="79" t="s">
        <v>54</v>
      </c>
      <c r="E146" s="79" t="s">
        <v>734</v>
      </c>
      <c r="F146" s="79" t="s">
        <v>238</v>
      </c>
      <c r="G146" s="110" t="s">
        <v>345</v>
      </c>
      <c r="H146" s="9" t="s">
        <v>126</v>
      </c>
      <c r="I146" s="9" t="s">
        <v>273</v>
      </c>
      <c r="J146" s="9" t="s">
        <v>280</v>
      </c>
      <c r="K146" s="9" t="s">
        <v>274</v>
      </c>
      <c r="L146" s="9"/>
      <c r="M146" s="9"/>
      <c r="N146" s="9"/>
      <c r="O146" s="142" t="s">
        <v>597</v>
      </c>
      <c r="P146" s="9" t="s">
        <v>655</v>
      </c>
    </row>
    <row r="147" spans="1:16" ht="102">
      <c r="A147" s="36"/>
      <c r="B147" s="79" t="s">
        <v>223</v>
      </c>
      <c r="C147" s="79" t="s">
        <v>224</v>
      </c>
      <c r="D147" s="79" t="s">
        <v>54</v>
      </c>
      <c r="E147" s="79" t="s">
        <v>735</v>
      </c>
      <c r="F147" s="79" t="s">
        <v>239</v>
      </c>
      <c r="G147" s="110" t="s">
        <v>474</v>
      </c>
      <c r="H147" s="9" t="s">
        <v>91</v>
      </c>
      <c r="I147" s="9" t="s">
        <v>267</v>
      </c>
      <c r="J147" s="9" t="s">
        <v>280</v>
      </c>
      <c r="K147" s="9" t="s">
        <v>274</v>
      </c>
      <c r="L147" s="9"/>
      <c r="M147" s="9"/>
      <c r="N147" s="9"/>
      <c r="O147" s="142" t="s">
        <v>597</v>
      </c>
      <c r="P147" s="9" t="s">
        <v>656</v>
      </c>
    </row>
    <row r="148" spans="1:16" ht="236.25" customHeight="1">
      <c r="A148" s="36"/>
      <c r="B148" s="79" t="s">
        <v>223</v>
      </c>
      <c r="C148" s="79" t="s">
        <v>224</v>
      </c>
      <c r="D148" s="79" t="s">
        <v>54</v>
      </c>
      <c r="E148" s="79" t="s">
        <v>735</v>
      </c>
      <c r="F148" s="79" t="s">
        <v>240</v>
      </c>
      <c r="G148" s="110" t="s">
        <v>475</v>
      </c>
      <c r="H148" s="9" t="s">
        <v>91</v>
      </c>
      <c r="I148" s="9" t="s">
        <v>267</v>
      </c>
      <c r="J148" s="9" t="s">
        <v>280</v>
      </c>
      <c r="K148" s="9" t="s">
        <v>274</v>
      </c>
      <c r="L148" s="9"/>
      <c r="M148" s="9"/>
      <c r="N148" s="9"/>
      <c r="O148" s="142" t="s">
        <v>597</v>
      </c>
      <c r="P148" s="9" t="s">
        <v>657</v>
      </c>
    </row>
    <row r="149" spans="1:16" ht="163.19999999999999">
      <c r="A149" s="36"/>
      <c r="B149" s="79" t="s">
        <v>223</v>
      </c>
      <c r="C149" s="79" t="s">
        <v>225</v>
      </c>
      <c r="D149" s="79" t="s">
        <v>54</v>
      </c>
      <c r="E149" s="79" t="s">
        <v>736</v>
      </c>
      <c r="F149" s="79" t="s">
        <v>391</v>
      </c>
      <c r="G149" s="110" t="s">
        <v>476</v>
      </c>
      <c r="H149" s="9" t="s">
        <v>91</v>
      </c>
      <c r="I149" s="9" t="s">
        <v>289</v>
      </c>
      <c r="J149" s="9" t="s">
        <v>280</v>
      </c>
      <c r="K149" s="9" t="s">
        <v>274</v>
      </c>
      <c r="L149" s="9"/>
      <c r="M149" s="9"/>
      <c r="N149" s="9"/>
      <c r="O149" s="142" t="s">
        <v>597</v>
      </c>
      <c r="P149" s="9" t="s">
        <v>658</v>
      </c>
    </row>
    <row r="150" spans="1:16" ht="220.5" customHeight="1">
      <c r="A150" s="36"/>
      <c r="B150" s="79" t="s">
        <v>37</v>
      </c>
      <c r="C150" s="79" t="s">
        <v>226</v>
      </c>
      <c r="D150" s="79" t="s">
        <v>54</v>
      </c>
      <c r="E150" s="79" t="s">
        <v>751</v>
      </c>
      <c r="F150" s="79" t="s">
        <v>241</v>
      </c>
      <c r="G150" s="110" t="s">
        <v>479</v>
      </c>
      <c r="H150" s="9" t="s">
        <v>91</v>
      </c>
      <c r="I150" s="9" t="s">
        <v>273</v>
      </c>
      <c r="J150" s="9" t="s">
        <v>280</v>
      </c>
      <c r="K150" s="9" t="s">
        <v>274</v>
      </c>
      <c r="L150" s="9"/>
      <c r="M150" s="9"/>
      <c r="N150" s="9"/>
      <c r="O150" s="142" t="s">
        <v>597</v>
      </c>
      <c r="P150" s="9" t="s">
        <v>756</v>
      </c>
    </row>
    <row r="151" spans="1:16" ht="219" customHeight="1">
      <c r="A151" s="36"/>
      <c r="B151" s="79" t="s">
        <v>26</v>
      </c>
      <c r="C151" s="79" t="s">
        <v>24</v>
      </c>
      <c r="D151" s="79" t="s">
        <v>54</v>
      </c>
      <c r="E151" s="79" t="s">
        <v>752</v>
      </c>
      <c r="F151" s="79" t="s">
        <v>242</v>
      </c>
      <c r="G151" s="110" t="s">
        <v>480</v>
      </c>
      <c r="H151" s="9" t="s">
        <v>91</v>
      </c>
      <c r="I151" s="9" t="s">
        <v>273</v>
      </c>
      <c r="J151" s="9" t="s">
        <v>280</v>
      </c>
      <c r="K151" s="9" t="s">
        <v>274</v>
      </c>
      <c r="L151" s="9"/>
      <c r="M151" s="9"/>
      <c r="N151" s="9"/>
      <c r="O151" s="142" t="s">
        <v>597</v>
      </c>
      <c r="P151" s="9" t="s">
        <v>756</v>
      </c>
    </row>
    <row r="152" spans="1:16" ht="146.25" customHeight="1">
      <c r="A152" s="36"/>
      <c r="B152" s="79" t="s">
        <v>39</v>
      </c>
      <c r="C152" s="79" t="s">
        <v>59</v>
      </c>
      <c r="D152" s="79" t="s">
        <v>54</v>
      </c>
      <c r="E152" s="79" t="s">
        <v>737</v>
      </c>
      <c r="F152" s="79" t="s">
        <v>243</v>
      </c>
      <c r="G152" s="110" t="s">
        <v>481</v>
      </c>
      <c r="H152" s="9" t="s">
        <v>126</v>
      </c>
      <c r="I152" s="9" t="s">
        <v>273</v>
      </c>
      <c r="J152" s="9" t="s">
        <v>280</v>
      </c>
      <c r="K152" s="9" t="s">
        <v>274</v>
      </c>
      <c r="L152" s="9" t="s">
        <v>302</v>
      </c>
      <c r="M152" s="9"/>
      <c r="N152" s="9"/>
      <c r="O152" s="142" t="s">
        <v>597</v>
      </c>
      <c r="P152" s="9" t="s">
        <v>654</v>
      </c>
    </row>
    <row r="153" spans="1:16" ht="132.6">
      <c r="A153" s="36"/>
      <c r="B153" s="79" t="s">
        <v>39</v>
      </c>
      <c r="C153" s="79" t="s">
        <v>30</v>
      </c>
      <c r="D153" s="79" t="s">
        <v>54</v>
      </c>
      <c r="E153" s="79" t="s">
        <v>738</v>
      </c>
      <c r="F153" s="79" t="s">
        <v>394</v>
      </c>
      <c r="G153" s="110" t="s">
        <v>497</v>
      </c>
      <c r="H153" s="9" t="s">
        <v>126</v>
      </c>
      <c r="I153" s="9" t="s">
        <v>273</v>
      </c>
      <c r="J153" s="9" t="s">
        <v>280</v>
      </c>
      <c r="K153" s="9" t="s">
        <v>274</v>
      </c>
      <c r="L153" s="9" t="s">
        <v>302</v>
      </c>
      <c r="M153" s="9"/>
      <c r="N153" s="9"/>
      <c r="O153" s="142" t="s">
        <v>597</v>
      </c>
      <c r="P153" s="9" t="s">
        <v>660</v>
      </c>
    </row>
    <row r="154" spans="1:16" ht="343.5" customHeight="1">
      <c r="A154" s="36"/>
      <c r="B154" s="79" t="s">
        <v>39</v>
      </c>
      <c r="C154" s="79" t="s">
        <v>227</v>
      </c>
      <c r="D154" s="79" t="s">
        <v>54</v>
      </c>
      <c r="E154" s="79" t="s">
        <v>739</v>
      </c>
      <c r="F154" s="79" t="s">
        <v>395</v>
      </c>
      <c r="G154" s="110" t="s">
        <v>482</v>
      </c>
      <c r="H154" s="9" t="s">
        <v>214</v>
      </c>
      <c r="I154" s="9" t="s">
        <v>273</v>
      </c>
      <c r="J154" s="9" t="s">
        <v>280</v>
      </c>
      <c r="K154" s="9" t="s">
        <v>274</v>
      </c>
      <c r="L154" s="9" t="s">
        <v>302</v>
      </c>
      <c r="M154" s="9"/>
      <c r="N154" s="9"/>
      <c r="O154" s="142" t="s">
        <v>597</v>
      </c>
      <c r="P154" s="9" t="s">
        <v>651</v>
      </c>
    </row>
    <row r="155" spans="1:16" ht="122.4">
      <c r="A155" s="36"/>
      <c r="B155" s="79" t="s">
        <v>39</v>
      </c>
      <c r="C155" s="79" t="s">
        <v>347</v>
      </c>
      <c r="D155" s="79" t="s">
        <v>54</v>
      </c>
      <c r="E155" s="79" t="s">
        <v>740</v>
      </c>
      <c r="F155" s="79" t="s">
        <v>244</v>
      </c>
      <c r="G155" s="110" t="s">
        <v>483</v>
      </c>
      <c r="H155" s="9" t="s">
        <v>91</v>
      </c>
      <c r="I155" s="9" t="s">
        <v>273</v>
      </c>
      <c r="J155" s="9" t="s">
        <v>280</v>
      </c>
      <c r="K155" s="9" t="s">
        <v>274</v>
      </c>
      <c r="L155" s="9" t="s">
        <v>302</v>
      </c>
      <c r="M155" s="9"/>
      <c r="N155" s="9"/>
      <c r="O155" s="142" t="s">
        <v>597</v>
      </c>
      <c r="P155" s="9" t="s">
        <v>661</v>
      </c>
    </row>
    <row r="156" spans="1:16" ht="285.60000000000002">
      <c r="A156" s="36"/>
      <c r="B156" s="79" t="s">
        <v>39</v>
      </c>
      <c r="C156" s="79" t="s">
        <v>27</v>
      </c>
      <c r="D156" s="79" t="s">
        <v>54</v>
      </c>
      <c r="E156" s="79" t="s">
        <v>741</v>
      </c>
      <c r="F156" s="79" t="s">
        <v>245</v>
      </c>
      <c r="G156" s="110" t="s">
        <v>484</v>
      </c>
      <c r="H156" s="9" t="s">
        <v>126</v>
      </c>
      <c r="I156" s="9" t="s">
        <v>273</v>
      </c>
      <c r="J156" s="9" t="s">
        <v>280</v>
      </c>
      <c r="K156" s="9" t="s">
        <v>290</v>
      </c>
      <c r="L156" s="9" t="s">
        <v>302</v>
      </c>
      <c r="M156" s="9"/>
      <c r="N156" s="9"/>
      <c r="O156" s="142" t="s">
        <v>597</v>
      </c>
      <c r="P156" s="9" t="s">
        <v>652</v>
      </c>
    </row>
    <row r="157" spans="1:16" ht="193.8">
      <c r="A157" s="36"/>
      <c r="B157" s="79" t="s">
        <v>42</v>
      </c>
      <c r="C157" s="79" t="s">
        <v>228</v>
      </c>
      <c r="D157" s="79" t="s">
        <v>54</v>
      </c>
      <c r="E157" s="79" t="s">
        <v>742</v>
      </c>
      <c r="F157" s="79" t="s">
        <v>396</v>
      </c>
      <c r="G157" s="110" t="s">
        <v>485</v>
      </c>
      <c r="H157" s="9" t="s">
        <v>126</v>
      </c>
      <c r="I157" s="9" t="s">
        <v>273</v>
      </c>
      <c r="J157" s="9" t="s">
        <v>291</v>
      </c>
      <c r="K157" s="9" t="s">
        <v>274</v>
      </c>
      <c r="L157" s="9"/>
      <c r="M157" s="9"/>
      <c r="N157" s="9"/>
      <c r="O157" s="142" t="s">
        <v>597</v>
      </c>
      <c r="P157" s="9" t="s">
        <v>654</v>
      </c>
    </row>
    <row r="158" spans="1:16" ht="204">
      <c r="A158" s="36"/>
      <c r="B158" s="79" t="s">
        <v>42</v>
      </c>
      <c r="C158" s="79" t="s">
        <v>229</v>
      </c>
      <c r="D158" s="79" t="s">
        <v>54</v>
      </c>
      <c r="E158" s="79" t="s">
        <v>743</v>
      </c>
      <c r="F158" s="79" t="s">
        <v>246</v>
      </c>
      <c r="G158" s="110" t="s">
        <v>486</v>
      </c>
      <c r="H158" s="9" t="s">
        <v>91</v>
      </c>
      <c r="I158" s="9" t="s">
        <v>267</v>
      </c>
      <c r="J158" s="9" t="s">
        <v>292</v>
      </c>
      <c r="K158" s="9" t="s">
        <v>274</v>
      </c>
      <c r="L158" s="9"/>
      <c r="M158" s="9"/>
      <c r="N158" s="9"/>
      <c r="O158" s="142" t="s">
        <v>597</v>
      </c>
      <c r="P158" s="9" t="s">
        <v>654</v>
      </c>
    </row>
    <row r="159" spans="1:16" ht="163.19999999999999">
      <c r="A159" s="36"/>
      <c r="B159" s="79" t="s">
        <v>43</v>
      </c>
      <c r="C159" s="79" t="s">
        <v>250</v>
      </c>
      <c r="D159" s="79" t="s">
        <v>54</v>
      </c>
      <c r="E159" s="79" t="s">
        <v>744</v>
      </c>
      <c r="F159" s="79" t="s">
        <v>397</v>
      </c>
      <c r="G159" s="110" t="s">
        <v>487</v>
      </c>
      <c r="H159" s="9" t="s">
        <v>256</v>
      </c>
      <c r="I159" s="9" t="s">
        <v>273</v>
      </c>
      <c r="J159" s="9" t="s">
        <v>291</v>
      </c>
      <c r="K159" s="9" t="s">
        <v>274</v>
      </c>
      <c r="L159" s="9"/>
      <c r="M159" s="9"/>
      <c r="N159" s="9"/>
      <c r="O159" s="142" t="s">
        <v>597</v>
      </c>
      <c r="P159" s="9" t="s">
        <v>662</v>
      </c>
    </row>
    <row r="160" spans="1:16" ht="153">
      <c r="A160" s="36"/>
      <c r="B160" s="79" t="s">
        <v>43</v>
      </c>
      <c r="C160" s="79" t="s">
        <v>230</v>
      </c>
      <c r="D160" s="79" t="s">
        <v>54</v>
      </c>
      <c r="E160" s="79" t="s">
        <v>745</v>
      </c>
      <c r="F160" s="79" t="s">
        <v>247</v>
      </c>
      <c r="G160" s="110" t="s">
        <v>488</v>
      </c>
      <c r="H160" s="9" t="s">
        <v>126</v>
      </c>
      <c r="I160" s="9" t="s">
        <v>273</v>
      </c>
      <c r="J160" s="9" t="s">
        <v>280</v>
      </c>
      <c r="K160" s="9" t="s">
        <v>274</v>
      </c>
      <c r="L160" s="9"/>
      <c r="M160" s="9"/>
      <c r="N160" s="9"/>
      <c r="O160" s="142" t="s">
        <v>597</v>
      </c>
      <c r="P160" s="9" t="s">
        <v>662</v>
      </c>
    </row>
    <row r="161" spans="1:16" ht="136.5" customHeight="1">
      <c r="A161" s="36"/>
      <c r="B161" s="79" t="s">
        <v>43</v>
      </c>
      <c r="C161" s="79" t="s">
        <v>230</v>
      </c>
      <c r="D161" s="79" t="s">
        <v>54</v>
      </c>
      <c r="E161" s="79" t="s">
        <v>745</v>
      </c>
      <c r="F161" s="79" t="s">
        <v>398</v>
      </c>
      <c r="G161" s="110" t="s">
        <v>489</v>
      </c>
      <c r="H161" s="9" t="s">
        <v>126</v>
      </c>
      <c r="I161" s="9" t="s">
        <v>273</v>
      </c>
      <c r="J161" s="9" t="s">
        <v>291</v>
      </c>
      <c r="K161" s="9" t="s">
        <v>274</v>
      </c>
      <c r="L161" s="9"/>
      <c r="M161" s="9"/>
      <c r="N161" s="9"/>
      <c r="O161" s="142" t="s">
        <v>597</v>
      </c>
      <c r="P161" s="9" t="s">
        <v>662</v>
      </c>
    </row>
    <row r="162" spans="1:16" ht="297" customHeight="1">
      <c r="A162" s="36"/>
      <c r="B162" s="79" t="s">
        <v>39</v>
      </c>
      <c r="C162" s="79" t="s">
        <v>27</v>
      </c>
      <c r="D162" s="79" t="s">
        <v>54</v>
      </c>
      <c r="E162" s="79" t="s">
        <v>741</v>
      </c>
      <c r="F162" s="79" t="s">
        <v>399</v>
      </c>
      <c r="G162" s="110" t="s">
        <v>548</v>
      </c>
      <c r="H162" s="9" t="s">
        <v>256</v>
      </c>
      <c r="I162" s="9" t="s">
        <v>273</v>
      </c>
      <c r="J162" s="9" t="s">
        <v>490</v>
      </c>
      <c r="K162" s="9" t="s">
        <v>536</v>
      </c>
      <c r="L162" s="9" t="s">
        <v>296</v>
      </c>
      <c r="M162" s="9"/>
      <c r="N162" s="9"/>
      <c r="O162" s="9" t="s">
        <v>597</v>
      </c>
      <c r="P162" s="9" t="s">
        <v>757</v>
      </c>
    </row>
    <row r="163" spans="1:16" ht="186" customHeight="1">
      <c r="A163" s="36"/>
      <c r="B163" s="79" t="s">
        <v>39</v>
      </c>
      <c r="C163" s="79" t="s">
        <v>27</v>
      </c>
      <c r="D163" s="79" t="s">
        <v>54</v>
      </c>
      <c r="E163" s="79" t="s">
        <v>741</v>
      </c>
      <c r="F163" s="79" t="s">
        <v>400</v>
      </c>
      <c r="G163" s="110" t="s">
        <v>535</v>
      </c>
      <c r="H163" s="9"/>
      <c r="I163" s="9"/>
      <c r="J163" s="9"/>
      <c r="K163" s="9"/>
      <c r="L163" s="9"/>
      <c r="M163" s="9"/>
      <c r="N163" s="9"/>
      <c r="O163" s="9" t="s">
        <v>597</v>
      </c>
      <c r="P163" s="9" t="s">
        <v>663</v>
      </c>
    </row>
    <row r="164" spans="1:16" ht="183.6">
      <c r="A164" s="36"/>
      <c r="B164" s="79" t="s">
        <v>39</v>
      </c>
      <c r="C164" s="79" t="s">
        <v>347</v>
      </c>
      <c r="D164" s="79" t="s">
        <v>54</v>
      </c>
      <c r="E164" s="79" t="s">
        <v>740</v>
      </c>
      <c r="F164" s="79" t="s">
        <v>248</v>
      </c>
      <c r="G164" s="110" t="s">
        <v>611</v>
      </c>
      <c r="H164" s="9"/>
      <c r="I164" s="9"/>
      <c r="J164" s="9"/>
      <c r="K164" s="9"/>
      <c r="L164" s="9"/>
      <c r="M164" s="9"/>
      <c r="N164" s="9"/>
      <c r="O164" s="9" t="s">
        <v>597</v>
      </c>
      <c r="P164" s="9" t="s">
        <v>662</v>
      </c>
    </row>
    <row r="165" spans="1:16" ht="122.4">
      <c r="B165" s="79" t="s">
        <v>42</v>
      </c>
      <c r="C165" s="79" t="s">
        <v>346</v>
      </c>
      <c r="D165" s="79" t="s">
        <v>54</v>
      </c>
      <c r="E165" s="79" t="s">
        <v>746</v>
      </c>
      <c r="F165" s="79" t="s">
        <v>249</v>
      </c>
      <c r="G165" s="110" t="s">
        <v>491</v>
      </c>
      <c r="H165" s="9" t="s">
        <v>126</v>
      </c>
      <c r="I165" s="9" t="s">
        <v>255</v>
      </c>
      <c r="J165" s="9" t="s">
        <v>280</v>
      </c>
      <c r="K165" s="9" t="s">
        <v>274</v>
      </c>
      <c r="L165" s="9"/>
      <c r="M165" s="9"/>
      <c r="N165" s="9"/>
      <c r="O165" s="9" t="s">
        <v>597</v>
      </c>
      <c r="P165" s="9" t="s">
        <v>662</v>
      </c>
    </row>
    <row r="166" spans="1:16" ht="96.75" customHeight="1">
      <c r="A166" s="36"/>
      <c r="B166" s="79" t="s">
        <v>42</v>
      </c>
      <c r="C166" s="79" t="s">
        <v>346</v>
      </c>
      <c r="D166" s="79" t="s">
        <v>54</v>
      </c>
      <c r="E166" s="79" t="s">
        <v>746</v>
      </c>
      <c r="F166" s="79" t="s">
        <v>401</v>
      </c>
      <c r="G166" s="110" t="s">
        <v>492</v>
      </c>
      <c r="H166" s="9" t="s">
        <v>126</v>
      </c>
      <c r="I166" s="9" t="s">
        <v>273</v>
      </c>
      <c r="J166" s="9" t="s">
        <v>291</v>
      </c>
      <c r="K166" s="9" t="s">
        <v>402</v>
      </c>
      <c r="L166" s="9"/>
      <c r="M166" s="9"/>
      <c r="N166" s="9"/>
      <c r="O166" s="9" t="s">
        <v>597</v>
      </c>
      <c r="P166" s="9" t="s">
        <v>662</v>
      </c>
    </row>
    <row r="167" spans="1:16" ht="81.599999999999994">
      <c r="A167" s="36"/>
      <c r="B167" s="79" t="s">
        <v>42</v>
      </c>
      <c r="C167" s="79" t="s">
        <v>346</v>
      </c>
      <c r="D167" s="79" t="s">
        <v>54</v>
      </c>
      <c r="E167" s="79" t="s">
        <v>746</v>
      </c>
      <c r="F167" s="79" t="s">
        <v>403</v>
      </c>
      <c r="G167" s="110" t="s">
        <v>493</v>
      </c>
      <c r="H167" s="9" t="s">
        <v>126</v>
      </c>
      <c r="I167" s="9" t="s">
        <v>273</v>
      </c>
      <c r="J167" s="9" t="s">
        <v>291</v>
      </c>
      <c r="K167" s="9" t="s">
        <v>274</v>
      </c>
      <c r="L167" s="9"/>
      <c r="M167" s="9"/>
      <c r="N167" s="9"/>
      <c r="O167" s="9" t="s">
        <v>597</v>
      </c>
      <c r="P167" s="9" t="s">
        <v>662</v>
      </c>
    </row>
    <row r="168" spans="1:16" ht="112.2">
      <c r="A168" s="36"/>
      <c r="B168" s="79" t="s">
        <v>39</v>
      </c>
      <c r="C168" s="79" t="s">
        <v>405</v>
      </c>
      <c r="D168" s="79" t="s">
        <v>54</v>
      </c>
      <c r="E168" s="79" t="s">
        <v>747</v>
      </c>
      <c r="F168" s="79" t="s">
        <v>404</v>
      </c>
      <c r="G168" s="110" t="s">
        <v>494</v>
      </c>
      <c r="H168" s="9" t="s">
        <v>126</v>
      </c>
      <c r="I168" s="9" t="s">
        <v>273</v>
      </c>
      <c r="J168" s="9" t="s">
        <v>291</v>
      </c>
      <c r="K168" s="9" t="s">
        <v>274</v>
      </c>
      <c r="L168" s="9"/>
      <c r="M168" s="9"/>
      <c r="N168" s="9"/>
      <c r="O168" s="9" t="s">
        <v>597</v>
      </c>
      <c r="P168" s="9" t="s">
        <v>662</v>
      </c>
    </row>
    <row r="169" spans="1:16" ht="122.4">
      <c r="A169" s="36"/>
      <c r="B169" s="79" t="s">
        <v>223</v>
      </c>
      <c r="C169" s="79" t="s">
        <v>224</v>
      </c>
      <c r="D169" s="79" t="s">
        <v>54</v>
      </c>
      <c r="E169" s="79" t="s">
        <v>735</v>
      </c>
      <c r="F169" s="79" t="s">
        <v>429</v>
      </c>
      <c r="G169" s="110" t="s">
        <v>495</v>
      </c>
      <c r="H169" s="9" t="s">
        <v>91</v>
      </c>
      <c r="I169" s="9" t="s">
        <v>267</v>
      </c>
      <c r="J169" s="9" t="s">
        <v>280</v>
      </c>
      <c r="K169" s="9" t="s">
        <v>274</v>
      </c>
      <c r="L169" s="9"/>
      <c r="M169" s="9"/>
      <c r="N169" s="9"/>
      <c r="O169" s="9" t="s">
        <v>597</v>
      </c>
      <c r="P169" s="9" t="s">
        <v>662</v>
      </c>
    </row>
    <row r="170" spans="1:16" ht="112.2">
      <c r="A170" s="36"/>
      <c r="B170" s="79" t="s">
        <v>25</v>
      </c>
      <c r="C170" s="79" t="s">
        <v>543</v>
      </c>
      <c r="D170" s="79" t="s">
        <v>54</v>
      </c>
      <c r="E170" s="79" t="s">
        <v>753</v>
      </c>
      <c r="F170" s="79" t="s">
        <v>530</v>
      </c>
      <c r="G170" s="110" t="s">
        <v>531</v>
      </c>
      <c r="H170" s="9" t="s">
        <v>256</v>
      </c>
      <c r="I170" s="9" t="s">
        <v>254</v>
      </c>
      <c r="J170" s="9" t="s">
        <v>17</v>
      </c>
      <c r="K170" s="9" t="s">
        <v>277</v>
      </c>
      <c r="L170" s="9" t="s">
        <v>469</v>
      </c>
      <c r="M170" s="9"/>
      <c r="N170" s="9"/>
      <c r="O170" s="9" t="s">
        <v>597</v>
      </c>
      <c r="P170" s="9" t="s">
        <v>756</v>
      </c>
    </row>
    <row r="171" spans="1:16" ht="120.75" customHeight="1">
      <c r="A171" s="36"/>
      <c r="B171" s="79" t="s">
        <v>39</v>
      </c>
      <c r="C171" s="79" t="s">
        <v>347</v>
      </c>
      <c r="D171" s="79" t="s">
        <v>54</v>
      </c>
      <c r="E171" s="79" t="s">
        <v>740</v>
      </c>
      <c r="F171" s="79" t="s">
        <v>612</v>
      </c>
      <c r="G171" s="110" t="s">
        <v>613</v>
      </c>
      <c r="H171" s="9"/>
      <c r="I171" s="9"/>
      <c r="J171" s="9"/>
      <c r="K171" s="9"/>
      <c r="L171" s="9"/>
      <c r="M171" s="9"/>
      <c r="N171" s="9"/>
      <c r="O171" s="9" t="s">
        <v>597</v>
      </c>
      <c r="P171" s="9" t="s">
        <v>664</v>
      </c>
    </row>
    <row r="172" spans="1:16" ht="138" customHeight="1">
      <c r="A172" s="36"/>
      <c r="B172" s="80" t="s">
        <v>28</v>
      </c>
      <c r="C172" s="79" t="s">
        <v>55</v>
      </c>
      <c r="D172" s="79" t="s">
        <v>54</v>
      </c>
      <c r="E172" s="79" t="s">
        <v>750</v>
      </c>
      <c r="F172" s="79" t="s">
        <v>392</v>
      </c>
      <c r="G172" s="110" t="s">
        <v>617</v>
      </c>
      <c r="H172" s="9" t="s">
        <v>91</v>
      </c>
      <c r="I172" s="9" t="s">
        <v>273</v>
      </c>
      <c r="J172" s="9" t="s">
        <v>280</v>
      </c>
      <c r="K172" s="9" t="s">
        <v>274</v>
      </c>
      <c r="L172" s="9"/>
      <c r="M172" s="9"/>
      <c r="N172" s="9"/>
      <c r="O172" s="9" t="s">
        <v>597</v>
      </c>
      <c r="P172" s="9" t="s">
        <v>659</v>
      </c>
    </row>
  </sheetData>
  <mergeCells count="12">
    <mergeCell ref="O1:O2"/>
    <mergeCell ref="M1:M2"/>
    <mergeCell ref="N1:N2"/>
    <mergeCell ref="H1:H2"/>
    <mergeCell ref="I1:I2"/>
    <mergeCell ref="J1:J2"/>
    <mergeCell ref="L1:L2"/>
    <mergeCell ref="A1:A2"/>
    <mergeCell ref="B1:B2"/>
    <mergeCell ref="C1:C2"/>
    <mergeCell ref="D1:D2"/>
    <mergeCell ref="G1:G2"/>
  </mergeCells>
  <dataValidations count="1">
    <dataValidation type="list" allowBlank="1" showInputMessage="1" showErrorMessage="1" sqref="O138:O172">
      <formula1>$U$4:$U$7</formula1>
    </dataValidation>
  </dataValidations>
  <hyperlinks>
    <hyperlink ref="A1:A2" location="'A. Claims Story Map'!A1" display="Back"/>
  </hyperlink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F0"/>
    <outlinePr summaryRight="0"/>
    <pageSetUpPr fitToPage="1"/>
  </sheetPr>
  <dimension ref="A1:L35"/>
  <sheetViews>
    <sheetView showGridLines="0" zoomScale="80" zoomScaleNormal="80" workbookViewId="0">
      <pane xSplit="7" ySplit="3" topLeftCell="H4" activePane="bottomRight" state="frozen"/>
      <selection activeCell="G4" sqref="G4"/>
      <selection pane="topRight" activeCell="G4" sqref="G4"/>
      <selection pane="bottomLeft" activeCell="G4" sqref="G4"/>
      <selection pane="bottomRight" activeCell="G5" sqref="G5"/>
    </sheetView>
  </sheetViews>
  <sheetFormatPr defaultColWidth="9.109375" defaultRowHeight="14.4"/>
  <cols>
    <col min="1" max="1" width="3.109375" style="5" bestFit="1" customWidth="1"/>
    <col min="2" max="2" width="10.5546875" style="5" customWidth="1"/>
    <col min="3" max="3" width="11.33203125" style="5" customWidth="1"/>
    <col min="4" max="4" width="12" style="5" customWidth="1"/>
    <col min="5" max="5" width="15" style="5" hidden="1" customWidth="1"/>
    <col min="6" max="6" width="13.6640625" style="5" customWidth="1"/>
    <col min="7" max="7" width="68.44140625" style="5" customWidth="1"/>
    <col min="8" max="9" width="14.5546875" style="1" customWidth="1"/>
    <col min="10" max="10" width="15.109375" style="1" customWidth="1"/>
    <col min="11" max="11" width="17.88671875" style="7" customWidth="1"/>
    <col min="12" max="12" width="18.109375" style="5" customWidth="1"/>
    <col min="13" max="16384" width="9.109375" style="5"/>
  </cols>
  <sheetData>
    <row r="1" spans="1:12" s="3" customFormat="1" ht="15" customHeight="1">
      <c r="A1" s="166" t="s">
        <v>53</v>
      </c>
      <c r="B1" s="2" t="s">
        <v>87</v>
      </c>
      <c r="C1" s="2"/>
      <c r="D1" s="2"/>
      <c r="E1" s="2"/>
      <c r="F1" s="2"/>
      <c r="G1" s="2"/>
      <c r="H1" s="41"/>
      <c r="I1" s="41"/>
      <c r="J1" s="41"/>
      <c r="K1" s="47"/>
      <c r="L1" s="2"/>
    </row>
    <row r="2" spans="1:12" ht="15" customHeight="1">
      <c r="A2" s="166"/>
      <c r="B2" s="159" t="s">
        <v>0</v>
      </c>
      <c r="C2" s="159" t="s">
        <v>1</v>
      </c>
      <c r="D2" s="159" t="s">
        <v>23</v>
      </c>
      <c r="E2" s="99"/>
      <c r="F2" s="159" t="s">
        <v>9</v>
      </c>
      <c r="G2" s="159" t="s">
        <v>10</v>
      </c>
      <c r="H2" s="159" t="s">
        <v>150</v>
      </c>
      <c r="I2" s="159" t="s">
        <v>149</v>
      </c>
      <c r="J2" s="159" t="s">
        <v>8</v>
      </c>
      <c r="K2" s="49" t="s">
        <v>84</v>
      </c>
      <c r="L2" s="165" t="s">
        <v>301</v>
      </c>
    </row>
    <row r="3" spans="1:12" ht="23.25" customHeight="1">
      <c r="A3" s="166"/>
      <c r="B3" s="160"/>
      <c r="C3" s="160"/>
      <c r="D3" s="160"/>
      <c r="E3" s="100"/>
      <c r="F3" s="160"/>
      <c r="G3" s="160"/>
      <c r="H3" s="160"/>
      <c r="I3" s="160"/>
      <c r="J3" s="160"/>
      <c r="K3" s="48" t="s">
        <v>11</v>
      </c>
      <c r="L3" s="165"/>
    </row>
    <row r="4" spans="1:12" ht="191.25" customHeight="1">
      <c r="A4" s="36"/>
      <c r="B4" s="9" t="s">
        <v>107</v>
      </c>
      <c r="C4" s="9" t="s">
        <v>383</v>
      </c>
      <c r="D4" s="9" t="s">
        <v>102</v>
      </c>
      <c r="E4" s="9" t="str">
        <f>CONCATENATE(C4,D4)</f>
        <v>Network ManagementGeneral-All</v>
      </c>
      <c r="F4" s="9" t="s">
        <v>320</v>
      </c>
      <c r="G4" s="38" t="s">
        <v>430</v>
      </c>
      <c r="H4" s="9" t="s">
        <v>256</v>
      </c>
      <c r="I4" s="9" t="s">
        <v>213</v>
      </c>
      <c r="J4" s="9" t="s">
        <v>107</v>
      </c>
      <c r="K4" s="9" t="s">
        <v>790</v>
      </c>
      <c r="L4" s="38" t="s">
        <v>296</v>
      </c>
    </row>
    <row r="5" spans="1:12" ht="223.2" customHeight="1">
      <c r="A5" s="36"/>
      <c r="B5" s="9" t="s">
        <v>107</v>
      </c>
      <c r="C5" s="9" t="s">
        <v>383</v>
      </c>
      <c r="D5" s="9" t="s">
        <v>102</v>
      </c>
      <c r="E5" s="9" t="str">
        <f t="shared" ref="E5:E29" si="0">CONCATENATE(C5,D5)</f>
        <v>Network ManagementGeneral-All</v>
      </c>
      <c r="F5" s="9" t="s">
        <v>321</v>
      </c>
      <c r="G5" s="97" t="s">
        <v>528</v>
      </c>
      <c r="H5" s="9" t="s">
        <v>256</v>
      </c>
      <c r="I5" s="9" t="s">
        <v>15</v>
      </c>
      <c r="J5" s="9" t="s">
        <v>107</v>
      </c>
      <c r="K5" s="9" t="s">
        <v>790</v>
      </c>
      <c r="L5" s="38" t="s">
        <v>296</v>
      </c>
    </row>
    <row r="6" spans="1:12" ht="126.75" customHeight="1">
      <c r="A6" s="36"/>
      <c r="B6" s="9" t="s">
        <v>107</v>
      </c>
      <c r="C6" s="9" t="s">
        <v>383</v>
      </c>
      <c r="D6" s="9" t="s">
        <v>102</v>
      </c>
      <c r="E6" s="9" t="str">
        <f t="shared" si="0"/>
        <v>Network ManagementGeneral-All</v>
      </c>
      <c r="F6" s="9" t="s">
        <v>322</v>
      </c>
      <c r="G6" s="38" t="s">
        <v>384</v>
      </c>
      <c r="H6" s="9" t="s">
        <v>256</v>
      </c>
      <c r="I6" s="9" t="s">
        <v>15</v>
      </c>
      <c r="J6" s="9"/>
      <c r="K6" s="9" t="s">
        <v>790</v>
      </c>
      <c r="L6" s="38"/>
    </row>
    <row r="7" spans="1:12" ht="187.95" customHeight="1">
      <c r="A7" s="36"/>
      <c r="B7" s="9" t="s">
        <v>107</v>
      </c>
      <c r="C7" s="9" t="s">
        <v>383</v>
      </c>
      <c r="D7" s="9" t="s">
        <v>102</v>
      </c>
      <c r="E7" s="9" t="str">
        <f t="shared" si="0"/>
        <v>Network ManagementGeneral-All</v>
      </c>
      <c r="F7" s="9" t="s">
        <v>323</v>
      </c>
      <c r="G7" s="38" t="s">
        <v>366</v>
      </c>
      <c r="H7" s="9" t="s">
        <v>126</v>
      </c>
      <c r="I7" s="9" t="s">
        <v>15</v>
      </c>
      <c r="J7" s="9"/>
      <c r="K7" s="9" t="s">
        <v>790</v>
      </c>
      <c r="L7" s="38" t="s">
        <v>302</v>
      </c>
    </row>
    <row r="8" spans="1:12" ht="146.25" customHeight="1">
      <c r="A8" s="36"/>
      <c r="B8" s="9" t="s">
        <v>107</v>
      </c>
      <c r="C8" s="9" t="s">
        <v>348</v>
      </c>
      <c r="D8" s="9" t="s">
        <v>102</v>
      </c>
      <c r="E8" s="9" t="str">
        <f t="shared" si="0"/>
        <v>Contract Management General-All</v>
      </c>
      <c r="F8" s="9" t="s">
        <v>324</v>
      </c>
      <c r="G8" s="97" t="s">
        <v>525</v>
      </c>
      <c r="H8" s="9" t="s">
        <v>126</v>
      </c>
      <c r="I8" s="9" t="s">
        <v>15</v>
      </c>
      <c r="J8" s="9"/>
      <c r="K8" s="9" t="s">
        <v>790</v>
      </c>
      <c r="L8" s="38"/>
    </row>
    <row r="9" spans="1:12" ht="117.6" customHeight="1">
      <c r="A9" s="36"/>
      <c r="B9" s="9" t="s">
        <v>107</v>
      </c>
      <c r="C9" s="9" t="s">
        <v>383</v>
      </c>
      <c r="D9" s="9" t="s">
        <v>102</v>
      </c>
      <c r="E9" s="9" t="str">
        <f t="shared" si="0"/>
        <v>Network ManagementGeneral-All</v>
      </c>
      <c r="F9" s="9" t="s">
        <v>325</v>
      </c>
      <c r="G9" s="46" t="s">
        <v>361</v>
      </c>
      <c r="H9" s="9"/>
      <c r="I9" s="9" t="s">
        <v>15</v>
      </c>
      <c r="J9" s="9"/>
      <c r="K9" s="9" t="s">
        <v>790</v>
      </c>
      <c r="L9" s="38" t="s">
        <v>296</v>
      </c>
    </row>
    <row r="10" spans="1:12" s="34" customFormat="1" ht="354.6" customHeight="1">
      <c r="A10" s="36"/>
      <c r="B10" s="9" t="s">
        <v>107</v>
      </c>
      <c r="C10" s="9" t="s">
        <v>385</v>
      </c>
      <c r="D10" s="9" t="s">
        <v>102</v>
      </c>
      <c r="E10" s="9" t="str">
        <f t="shared" si="0"/>
        <v>Fee StructureGeneral-All</v>
      </c>
      <c r="F10" s="9" t="s">
        <v>326</v>
      </c>
      <c r="G10" s="97" t="s">
        <v>622</v>
      </c>
      <c r="H10" s="9" t="s">
        <v>126</v>
      </c>
      <c r="I10" s="9" t="s">
        <v>15</v>
      </c>
      <c r="J10" s="9"/>
      <c r="K10" s="9" t="s">
        <v>791</v>
      </c>
      <c r="L10" s="38"/>
    </row>
    <row r="11" spans="1:12" ht="163.5" customHeight="1">
      <c r="A11" s="36"/>
      <c r="B11" s="9" t="s">
        <v>107</v>
      </c>
      <c r="C11" s="9" t="s">
        <v>385</v>
      </c>
      <c r="D11" s="9" t="s">
        <v>102</v>
      </c>
      <c r="E11" s="9" t="str">
        <f t="shared" si="0"/>
        <v>Fee StructureGeneral-All</v>
      </c>
      <c r="F11" s="9" t="s">
        <v>327</v>
      </c>
      <c r="G11" s="97" t="s">
        <v>356</v>
      </c>
      <c r="H11" s="9" t="s">
        <v>357</v>
      </c>
      <c r="I11" s="9" t="s">
        <v>15</v>
      </c>
      <c r="J11" s="9"/>
      <c r="K11" s="9" t="s">
        <v>790</v>
      </c>
      <c r="L11" s="38" t="s">
        <v>302</v>
      </c>
    </row>
    <row r="12" spans="1:12" ht="247.5" customHeight="1">
      <c r="A12" s="36"/>
      <c r="B12" s="9" t="s">
        <v>107</v>
      </c>
      <c r="C12" s="9" t="s">
        <v>385</v>
      </c>
      <c r="D12" s="9" t="s">
        <v>102</v>
      </c>
      <c r="E12" s="9" t="str">
        <f t="shared" si="0"/>
        <v>Fee StructureGeneral-All</v>
      </c>
      <c r="F12" s="9" t="s">
        <v>328</v>
      </c>
      <c r="G12" s="97" t="s">
        <v>358</v>
      </c>
      <c r="H12" s="9"/>
      <c r="I12" s="9" t="s">
        <v>15</v>
      </c>
      <c r="J12" s="9"/>
      <c r="K12" s="9" t="s">
        <v>790</v>
      </c>
      <c r="L12" s="38" t="s">
        <v>302</v>
      </c>
    </row>
    <row r="13" spans="1:12" ht="125.25" customHeight="1">
      <c r="A13" s="36"/>
      <c r="B13" s="9" t="s">
        <v>107</v>
      </c>
      <c r="C13" s="9" t="s">
        <v>386</v>
      </c>
      <c r="D13" s="9" t="s">
        <v>102</v>
      </c>
      <c r="E13" s="9" t="str">
        <f t="shared" si="0"/>
        <v>ValidationGeneral-All</v>
      </c>
      <c r="F13" s="9" t="s">
        <v>329</v>
      </c>
      <c r="G13" s="97" t="s">
        <v>371</v>
      </c>
      <c r="H13" s="9"/>
      <c r="I13" s="9" t="s">
        <v>15</v>
      </c>
      <c r="J13" s="9"/>
      <c r="K13" s="9" t="s">
        <v>792</v>
      </c>
      <c r="L13" s="38" t="s">
        <v>302</v>
      </c>
    </row>
    <row r="14" spans="1:12" ht="126.6" customHeight="1">
      <c r="A14" s="36"/>
      <c r="B14" s="9" t="s">
        <v>107</v>
      </c>
      <c r="C14" s="9" t="s">
        <v>386</v>
      </c>
      <c r="D14" s="9" t="s">
        <v>102</v>
      </c>
      <c r="E14" s="9" t="str">
        <f t="shared" si="0"/>
        <v>ValidationGeneral-All</v>
      </c>
      <c r="F14" s="9" t="s">
        <v>330</v>
      </c>
      <c r="G14" s="97" t="s">
        <v>359</v>
      </c>
      <c r="H14" s="9"/>
      <c r="I14" s="9" t="s">
        <v>15</v>
      </c>
      <c r="J14" s="9"/>
      <c r="K14" s="9" t="s">
        <v>792</v>
      </c>
      <c r="L14" s="38" t="s">
        <v>302</v>
      </c>
    </row>
    <row r="15" spans="1:12" ht="124.2" customHeight="1">
      <c r="A15" s="36"/>
      <c r="B15" s="9" t="s">
        <v>107</v>
      </c>
      <c r="C15" s="22" t="s">
        <v>386</v>
      </c>
      <c r="D15" s="9" t="s">
        <v>102</v>
      </c>
      <c r="E15" s="9" t="str">
        <f t="shared" si="0"/>
        <v>ValidationGeneral-All</v>
      </c>
      <c r="F15" s="9" t="s">
        <v>331</v>
      </c>
      <c r="G15" s="97" t="s">
        <v>360</v>
      </c>
      <c r="H15" s="9"/>
      <c r="I15" s="9" t="s">
        <v>15</v>
      </c>
      <c r="J15" s="9"/>
      <c r="K15" s="9" t="s">
        <v>793</v>
      </c>
      <c r="L15" s="38" t="s">
        <v>296</v>
      </c>
    </row>
    <row r="16" spans="1:12" ht="285.60000000000002">
      <c r="A16" s="36"/>
      <c r="B16" s="9" t="s">
        <v>107</v>
      </c>
      <c r="C16" s="22" t="s">
        <v>367</v>
      </c>
      <c r="D16" s="9" t="s">
        <v>102</v>
      </c>
      <c r="E16" s="9" t="str">
        <f t="shared" si="0"/>
        <v>Provider ProfileGeneral-All</v>
      </c>
      <c r="F16" s="9" t="s">
        <v>332</v>
      </c>
      <c r="G16" s="112" t="s">
        <v>368</v>
      </c>
      <c r="H16" s="9"/>
      <c r="I16" s="9" t="s">
        <v>15</v>
      </c>
      <c r="J16" s="9"/>
      <c r="K16" s="9" t="s">
        <v>790</v>
      </c>
      <c r="L16" s="38" t="s">
        <v>302</v>
      </c>
    </row>
    <row r="17" spans="1:12" ht="81.599999999999994">
      <c r="A17" s="36"/>
      <c r="B17" s="9" t="s">
        <v>107</v>
      </c>
      <c r="C17" s="22" t="s">
        <v>367</v>
      </c>
      <c r="D17" s="9" t="s">
        <v>102</v>
      </c>
      <c r="E17" s="9" t="str">
        <f t="shared" si="0"/>
        <v>Provider ProfileGeneral-All</v>
      </c>
      <c r="F17" s="9" t="s">
        <v>333</v>
      </c>
      <c r="G17" s="114" t="s">
        <v>369</v>
      </c>
      <c r="H17" s="9"/>
      <c r="I17" s="9" t="s">
        <v>15</v>
      </c>
      <c r="J17" s="9"/>
      <c r="K17" s="9" t="s">
        <v>790</v>
      </c>
      <c r="L17" s="38"/>
    </row>
    <row r="18" spans="1:12" ht="255">
      <c r="A18" s="36"/>
      <c r="B18" s="9" t="s">
        <v>107</v>
      </c>
      <c r="C18" s="22" t="s">
        <v>367</v>
      </c>
      <c r="D18" s="9" t="s">
        <v>102</v>
      </c>
      <c r="E18" s="9" t="str">
        <f t="shared" si="0"/>
        <v>Provider ProfileGeneral-All</v>
      </c>
      <c r="F18" s="9" t="s">
        <v>334</v>
      </c>
      <c r="G18" s="113" t="s">
        <v>372</v>
      </c>
      <c r="H18" s="9"/>
      <c r="I18" s="9" t="s">
        <v>15</v>
      </c>
      <c r="J18" s="9"/>
      <c r="K18" s="9" t="s">
        <v>790</v>
      </c>
      <c r="L18" s="38" t="s">
        <v>296</v>
      </c>
    </row>
    <row r="19" spans="1:12" s="40" customFormat="1" ht="163.19999999999999">
      <c r="A19" s="36"/>
      <c r="B19" s="9" t="s">
        <v>107</v>
      </c>
      <c r="C19" s="9" t="s">
        <v>348</v>
      </c>
      <c r="D19" s="9" t="s">
        <v>102</v>
      </c>
      <c r="E19" s="9" t="str">
        <f t="shared" si="0"/>
        <v>Contract Management General-All</v>
      </c>
      <c r="F19" s="9" t="s">
        <v>335</v>
      </c>
      <c r="G19" s="115" t="s">
        <v>373</v>
      </c>
      <c r="H19" s="9"/>
      <c r="I19" s="9" t="s">
        <v>15</v>
      </c>
      <c r="J19" s="9"/>
      <c r="K19" s="9" t="s">
        <v>790</v>
      </c>
      <c r="L19" s="38"/>
    </row>
    <row r="20" spans="1:12" s="40" customFormat="1" ht="244.95" customHeight="1">
      <c r="A20" s="36"/>
      <c r="B20" s="9" t="s">
        <v>107</v>
      </c>
      <c r="C20" s="22" t="s">
        <v>386</v>
      </c>
      <c r="D20" s="9" t="s">
        <v>102</v>
      </c>
      <c r="E20" s="9" t="str">
        <f t="shared" si="0"/>
        <v>ValidationGeneral-All</v>
      </c>
      <c r="F20" s="9" t="s">
        <v>336</v>
      </c>
      <c r="G20" s="115" t="s">
        <v>370</v>
      </c>
      <c r="H20" s="9"/>
      <c r="I20" s="9" t="s">
        <v>15</v>
      </c>
      <c r="J20" s="9"/>
      <c r="K20" s="9" t="s">
        <v>794</v>
      </c>
      <c r="L20" s="38"/>
    </row>
    <row r="21" spans="1:12" ht="94.2" customHeight="1">
      <c r="A21" s="36"/>
      <c r="B21" s="9" t="s">
        <v>107</v>
      </c>
      <c r="C21" s="22" t="s">
        <v>367</v>
      </c>
      <c r="D21" s="9" t="s">
        <v>102</v>
      </c>
      <c r="E21" s="9" t="str">
        <f t="shared" si="0"/>
        <v>Provider ProfileGeneral-All</v>
      </c>
      <c r="F21" s="9" t="s">
        <v>337</v>
      </c>
      <c r="G21" s="116" t="s">
        <v>374</v>
      </c>
      <c r="H21" s="9"/>
      <c r="I21" s="9" t="s">
        <v>15</v>
      </c>
      <c r="J21" s="9"/>
      <c r="K21" s="9" t="s">
        <v>790</v>
      </c>
      <c r="L21" s="38" t="s">
        <v>296</v>
      </c>
    </row>
    <row r="22" spans="1:12" s="40" customFormat="1" ht="99.75" customHeight="1">
      <c r="A22" s="36"/>
      <c r="B22" s="9" t="s">
        <v>107</v>
      </c>
      <c r="C22" s="22" t="s">
        <v>367</v>
      </c>
      <c r="D22" s="9" t="s">
        <v>102</v>
      </c>
      <c r="E22" s="9" t="str">
        <f t="shared" si="0"/>
        <v>Provider ProfileGeneral-All</v>
      </c>
      <c r="F22" s="9" t="s">
        <v>338</v>
      </c>
      <c r="G22" s="116" t="s">
        <v>375</v>
      </c>
      <c r="H22" s="9"/>
      <c r="I22" s="9" t="s">
        <v>15</v>
      </c>
      <c r="J22" s="9"/>
      <c r="K22" s="9" t="s">
        <v>790</v>
      </c>
      <c r="L22" s="38" t="s">
        <v>296</v>
      </c>
    </row>
    <row r="23" spans="1:12" s="40" customFormat="1" ht="58.5" customHeight="1">
      <c r="A23" s="36"/>
      <c r="B23" s="9" t="s">
        <v>107</v>
      </c>
      <c r="C23" s="22" t="s">
        <v>367</v>
      </c>
      <c r="D23" s="9" t="s">
        <v>102</v>
      </c>
      <c r="E23" s="9" t="str">
        <f t="shared" si="0"/>
        <v>Provider ProfileGeneral-All</v>
      </c>
      <c r="F23" s="9" t="s">
        <v>339</v>
      </c>
      <c r="G23" s="117" t="s">
        <v>376</v>
      </c>
      <c r="H23" s="9"/>
      <c r="I23" s="9" t="s">
        <v>15</v>
      </c>
      <c r="J23" s="9"/>
      <c r="K23" s="38" t="s">
        <v>795</v>
      </c>
      <c r="L23" s="38"/>
    </row>
    <row r="24" spans="1:12" ht="103.5" customHeight="1">
      <c r="A24" s="36"/>
      <c r="B24" s="9" t="s">
        <v>107</v>
      </c>
      <c r="C24" s="22" t="s">
        <v>367</v>
      </c>
      <c r="D24" s="9" t="s">
        <v>102</v>
      </c>
      <c r="E24" s="9" t="str">
        <f t="shared" si="0"/>
        <v>Provider ProfileGeneral-All</v>
      </c>
      <c r="F24" s="9" t="s">
        <v>340</v>
      </c>
      <c r="G24" s="8" t="s">
        <v>377</v>
      </c>
      <c r="H24" s="9"/>
      <c r="I24" s="9" t="s">
        <v>15</v>
      </c>
      <c r="J24" s="9"/>
      <c r="K24" s="9" t="s">
        <v>796</v>
      </c>
      <c r="L24" s="38"/>
    </row>
    <row r="25" spans="1:12" ht="105" customHeight="1">
      <c r="A25" s="36"/>
      <c r="B25" s="9" t="s">
        <v>107</v>
      </c>
      <c r="C25" s="22" t="s">
        <v>386</v>
      </c>
      <c r="D25" s="9" t="s">
        <v>102</v>
      </c>
      <c r="E25" s="9" t="str">
        <f t="shared" si="0"/>
        <v>ValidationGeneral-All</v>
      </c>
      <c r="F25" s="9" t="s">
        <v>341</v>
      </c>
      <c r="G25" s="38" t="s">
        <v>378</v>
      </c>
      <c r="H25" s="9"/>
      <c r="I25" s="9" t="s">
        <v>15</v>
      </c>
      <c r="J25" s="9"/>
      <c r="K25" s="9" t="s">
        <v>796</v>
      </c>
      <c r="L25" s="38" t="s">
        <v>296</v>
      </c>
    </row>
    <row r="26" spans="1:12" ht="63.75" customHeight="1">
      <c r="A26" s="36"/>
      <c r="B26" s="9" t="s">
        <v>107</v>
      </c>
      <c r="C26" s="22" t="s">
        <v>367</v>
      </c>
      <c r="D26" s="9" t="s">
        <v>102</v>
      </c>
      <c r="E26" s="9" t="str">
        <f t="shared" si="0"/>
        <v>Provider ProfileGeneral-All</v>
      </c>
      <c r="F26" s="9" t="s">
        <v>342</v>
      </c>
      <c r="G26" s="38" t="s">
        <v>379</v>
      </c>
      <c r="H26" s="9"/>
      <c r="I26" s="9" t="s">
        <v>15</v>
      </c>
      <c r="J26" s="9"/>
      <c r="K26" s="38" t="s">
        <v>795</v>
      </c>
      <c r="L26" s="6"/>
    </row>
    <row r="27" spans="1:12" ht="69.75" customHeight="1">
      <c r="A27" s="36"/>
      <c r="B27" s="9" t="s">
        <v>107</v>
      </c>
      <c r="C27" s="22" t="s">
        <v>367</v>
      </c>
      <c r="D27" s="9" t="s">
        <v>102</v>
      </c>
      <c r="E27" s="119" t="str">
        <f t="shared" si="0"/>
        <v>Provider ProfileGeneral-All</v>
      </c>
      <c r="F27" s="9" t="s">
        <v>362</v>
      </c>
      <c r="G27" s="118" t="s">
        <v>380</v>
      </c>
      <c r="H27" s="9"/>
      <c r="I27" s="9" t="s">
        <v>15</v>
      </c>
      <c r="J27" s="9"/>
      <c r="K27" s="38" t="s">
        <v>795</v>
      </c>
      <c r="L27" s="6"/>
    </row>
    <row r="28" spans="1:12" ht="64.5" customHeight="1">
      <c r="A28" s="36"/>
      <c r="B28" s="9" t="s">
        <v>107</v>
      </c>
      <c r="C28" s="22" t="s">
        <v>367</v>
      </c>
      <c r="D28" s="9" t="s">
        <v>102</v>
      </c>
      <c r="E28" s="119" t="str">
        <f t="shared" si="0"/>
        <v>Provider ProfileGeneral-All</v>
      </c>
      <c r="F28" s="9" t="s">
        <v>363</v>
      </c>
      <c r="G28" s="38" t="s">
        <v>381</v>
      </c>
      <c r="H28" s="9"/>
      <c r="I28" s="9" t="s">
        <v>15</v>
      </c>
      <c r="J28" s="9"/>
      <c r="K28" s="38" t="s">
        <v>795</v>
      </c>
      <c r="L28" s="6"/>
    </row>
    <row r="29" spans="1:12" ht="174.75" customHeight="1">
      <c r="A29" s="36"/>
      <c r="B29" s="9" t="s">
        <v>107</v>
      </c>
      <c r="C29" s="22" t="s">
        <v>348</v>
      </c>
      <c r="D29" s="9" t="s">
        <v>102</v>
      </c>
      <c r="E29" s="119" t="str">
        <f t="shared" si="0"/>
        <v>Contract Management General-All</v>
      </c>
      <c r="F29" s="9" t="s">
        <v>364</v>
      </c>
      <c r="G29" s="116" t="s">
        <v>514</v>
      </c>
      <c r="H29" s="9"/>
      <c r="I29" s="9" t="s">
        <v>15</v>
      </c>
      <c r="J29" s="9"/>
      <c r="K29" s="9" t="s">
        <v>790</v>
      </c>
      <c r="L29" s="6"/>
    </row>
    <row r="30" spans="1:12" ht="258.75" customHeight="1">
      <c r="A30" s="36"/>
      <c r="B30" s="9" t="s">
        <v>107</v>
      </c>
      <c r="C30" s="22" t="s">
        <v>387</v>
      </c>
      <c r="D30" s="9" t="s">
        <v>102</v>
      </c>
      <c r="E30" s="119" t="str">
        <f t="shared" ref="E30:E35" si="1">CONCATENATE(C30,D30)</f>
        <v>Prior ApprovalGeneral-All</v>
      </c>
      <c r="F30" s="9" t="s">
        <v>365</v>
      </c>
      <c r="G30" s="9" t="s">
        <v>532</v>
      </c>
      <c r="H30" s="9"/>
      <c r="I30" s="9" t="s">
        <v>15</v>
      </c>
      <c r="J30" s="9"/>
      <c r="K30" s="38" t="s">
        <v>795</v>
      </c>
      <c r="L30" s="6"/>
    </row>
    <row r="31" spans="1:12" ht="91.95" customHeight="1">
      <c r="A31" s="36"/>
      <c r="B31" s="9" t="s">
        <v>107</v>
      </c>
      <c r="C31" s="22" t="s">
        <v>387</v>
      </c>
      <c r="D31" s="9" t="s">
        <v>102</v>
      </c>
      <c r="E31" s="119" t="str">
        <f t="shared" si="1"/>
        <v>Prior ApprovalGeneral-All</v>
      </c>
      <c r="F31" s="9" t="s">
        <v>502</v>
      </c>
      <c r="G31" s="9" t="s">
        <v>516</v>
      </c>
      <c r="H31" s="9"/>
      <c r="I31" s="9" t="s">
        <v>15</v>
      </c>
      <c r="J31" s="9"/>
      <c r="K31" s="38" t="s">
        <v>795</v>
      </c>
      <c r="L31" s="6"/>
    </row>
    <row r="32" spans="1:12" ht="163.19999999999999" customHeight="1">
      <c r="A32" s="36"/>
      <c r="B32" s="9" t="s">
        <v>107</v>
      </c>
      <c r="C32" s="22" t="s">
        <v>348</v>
      </c>
      <c r="D32" s="9" t="s">
        <v>102</v>
      </c>
      <c r="E32" s="119" t="str">
        <f t="shared" si="1"/>
        <v>Contract Management General-All</v>
      </c>
      <c r="F32" s="9" t="s">
        <v>515</v>
      </c>
      <c r="G32" s="124" t="s">
        <v>618</v>
      </c>
      <c r="H32" s="9"/>
      <c r="I32" s="9" t="s">
        <v>15</v>
      </c>
      <c r="J32" s="9"/>
      <c r="K32" s="38" t="s">
        <v>795</v>
      </c>
      <c r="L32" s="6"/>
    </row>
    <row r="33" spans="1:12" ht="150.75" customHeight="1">
      <c r="A33" s="36"/>
      <c r="B33" s="9" t="s">
        <v>107</v>
      </c>
      <c r="C33" s="22" t="s">
        <v>367</v>
      </c>
      <c r="D33" s="9" t="s">
        <v>102</v>
      </c>
      <c r="E33" s="119" t="str">
        <f t="shared" si="1"/>
        <v>Provider ProfileGeneral-All</v>
      </c>
      <c r="F33" s="9" t="s">
        <v>619</v>
      </c>
      <c r="G33" s="38" t="s">
        <v>620</v>
      </c>
      <c r="H33" s="9"/>
      <c r="I33" s="9" t="s">
        <v>15</v>
      </c>
      <c r="J33" s="9"/>
      <c r="K33" s="38" t="s">
        <v>795</v>
      </c>
      <c r="L33" s="6"/>
    </row>
    <row r="34" spans="1:12" s="34" customFormat="1" ht="101.25" customHeight="1">
      <c r="A34" s="36"/>
      <c r="B34" s="9" t="s">
        <v>107</v>
      </c>
      <c r="C34" s="9" t="s">
        <v>385</v>
      </c>
      <c r="D34" s="9" t="s">
        <v>102</v>
      </c>
      <c r="E34" s="9" t="str">
        <f t="shared" si="1"/>
        <v>Fee StructureGeneral-All</v>
      </c>
      <c r="F34" s="9" t="s">
        <v>625</v>
      </c>
      <c r="G34" s="97" t="s">
        <v>621</v>
      </c>
      <c r="H34" s="9" t="s">
        <v>126</v>
      </c>
      <c r="I34" s="9" t="s">
        <v>15</v>
      </c>
      <c r="J34" s="9"/>
      <c r="K34" s="38" t="s">
        <v>795</v>
      </c>
      <c r="L34" s="38"/>
    </row>
    <row r="35" spans="1:12" ht="108" customHeight="1">
      <c r="A35" s="36"/>
      <c r="B35" s="9" t="s">
        <v>107</v>
      </c>
      <c r="C35" s="9" t="s">
        <v>623</v>
      </c>
      <c r="D35" s="9" t="s">
        <v>102</v>
      </c>
      <c r="E35" s="9" t="str">
        <f t="shared" si="1"/>
        <v>Appointment Management General-All</v>
      </c>
      <c r="F35" s="9" t="s">
        <v>626</v>
      </c>
      <c r="G35" s="97" t="s">
        <v>624</v>
      </c>
      <c r="H35" s="9" t="s">
        <v>126</v>
      </c>
      <c r="I35" s="9" t="s">
        <v>15</v>
      </c>
      <c r="J35" s="9"/>
      <c r="K35" s="9" t="s">
        <v>790</v>
      </c>
      <c r="L35" s="38"/>
    </row>
  </sheetData>
  <mergeCells count="10">
    <mergeCell ref="A1:A3"/>
    <mergeCell ref="B2:B3"/>
    <mergeCell ref="C2:C3"/>
    <mergeCell ref="D2:D3"/>
    <mergeCell ref="F2:F3"/>
    <mergeCell ref="L2:L3"/>
    <mergeCell ref="H2:H3"/>
    <mergeCell ref="I2:I3"/>
    <mergeCell ref="J2:J3"/>
    <mergeCell ref="G2:G3"/>
  </mergeCells>
  <hyperlinks>
    <hyperlink ref="A1:A3" location="'A. Claims Story Map'!A1" display="Back"/>
  </hyperlinks>
  <printOptions horizontalCentered="1" gridLines="1"/>
  <pageMargins left="0.23622047244094491" right="0.23622047244094491" top="0.51181102362204722" bottom="0.51181102362204722" header="0.31496062992125984" footer="0.31496062992125984"/>
  <pageSetup paperSize="5" scale="80" fitToHeight="0" orientation="landscape" horizontalDpi="300" verticalDpi="300" r:id="rId1"/>
  <headerFooter>
    <oddHeader>&amp;F</oddHeader>
    <oddFooter>&amp;A&amp;RPage &amp;P</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00B0F0"/>
    <outlinePr summaryRight="0"/>
    <pageSetUpPr fitToPage="1"/>
  </sheetPr>
  <dimension ref="A1:L34"/>
  <sheetViews>
    <sheetView showGridLines="0" zoomScale="80" zoomScaleNormal="80" workbookViewId="0">
      <pane xSplit="7" ySplit="3" topLeftCell="H4" activePane="bottomRight" state="frozen"/>
      <selection activeCell="G4" sqref="G4"/>
      <selection pane="topRight" activeCell="G4" sqref="G4"/>
      <selection pane="bottomLeft" activeCell="G4" sqref="G4"/>
      <selection pane="bottomRight" activeCell="G16" sqref="G16"/>
    </sheetView>
  </sheetViews>
  <sheetFormatPr defaultRowHeight="14.4"/>
  <cols>
    <col min="1" max="1" width="3.109375" style="5" bestFit="1" customWidth="1"/>
    <col min="2" max="2" width="10.5546875" customWidth="1"/>
    <col min="3" max="3" width="11.33203125" customWidth="1"/>
    <col min="4" max="4" width="12" style="5" customWidth="1"/>
    <col min="5" max="5" width="15" style="5" customWidth="1"/>
    <col min="6" max="6" width="13.6640625" style="5" customWidth="1"/>
    <col min="7" max="7" width="66.88671875" customWidth="1"/>
    <col min="8" max="10" width="14.5546875" style="1" customWidth="1"/>
    <col min="11" max="11" width="17" style="7" customWidth="1"/>
    <col min="12" max="12" width="20.88671875" customWidth="1"/>
  </cols>
  <sheetData>
    <row r="1" spans="1:12" s="3" customFormat="1" ht="15" customHeight="1">
      <c r="A1" s="166" t="s">
        <v>53</v>
      </c>
      <c r="B1" s="2" t="s">
        <v>87</v>
      </c>
      <c r="C1" s="2"/>
      <c r="D1" s="2"/>
      <c r="E1" s="2"/>
      <c r="F1" s="2"/>
      <c r="G1" s="2"/>
      <c r="H1" s="41"/>
      <c r="I1" s="41"/>
      <c r="J1" s="41"/>
      <c r="K1" s="47"/>
      <c r="L1" s="2"/>
    </row>
    <row r="2" spans="1:12" ht="15" customHeight="1">
      <c r="A2" s="166"/>
      <c r="B2" s="159" t="s">
        <v>0</v>
      </c>
      <c r="C2" s="159" t="s">
        <v>1</v>
      </c>
      <c r="D2" s="159" t="s">
        <v>23</v>
      </c>
      <c r="E2" s="24"/>
      <c r="F2" s="159" t="s">
        <v>9</v>
      </c>
      <c r="G2" s="159" t="s">
        <v>10</v>
      </c>
      <c r="H2" s="159" t="s">
        <v>150</v>
      </c>
      <c r="I2" s="159" t="s">
        <v>351</v>
      </c>
      <c r="J2" s="159" t="s">
        <v>8</v>
      </c>
      <c r="K2" s="49" t="s">
        <v>84</v>
      </c>
      <c r="L2" s="167" t="s">
        <v>301</v>
      </c>
    </row>
    <row r="3" spans="1:12" ht="23.25" customHeight="1">
      <c r="A3" s="166"/>
      <c r="B3" s="160"/>
      <c r="C3" s="160"/>
      <c r="D3" s="160"/>
      <c r="E3" s="25"/>
      <c r="F3" s="160"/>
      <c r="G3" s="160"/>
      <c r="H3" s="160"/>
      <c r="I3" s="160"/>
      <c r="J3" s="160"/>
      <c r="K3" s="48" t="s">
        <v>11</v>
      </c>
      <c r="L3" s="168"/>
    </row>
    <row r="4" spans="1:12" ht="171" customHeight="1">
      <c r="A4" s="20"/>
      <c r="B4" s="9" t="s">
        <v>305</v>
      </c>
      <c r="C4" s="9" t="s">
        <v>14</v>
      </c>
      <c r="D4" s="9" t="s">
        <v>102</v>
      </c>
      <c r="E4" s="9" t="str">
        <f t="shared" ref="E4:E22" si="0">CONCATENATE(C4,D4)</f>
        <v>Claims Data CaptureGeneral-All</v>
      </c>
      <c r="F4" s="9" t="s">
        <v>181</v>
      </c>
      <c r="G4" s="38" t="s">
        <v>759</v>
      </c>
      <c r="H4" s="9" t="s">
        <v>214</v>
      </c>
      <c r="I4" s="9" t="s">
        <v>213</v>
      </c>
      <c r="J4" s="9" t="s">
        <v>90</v>
      </c>
      <c r="K4" s="9" t="s">
        <v>797</v>
      </c>
      <c r="L4" s="38" t="s">
        <v>296</v>
      </c>
    </row>
    <row r="5" spans="1:12" ht="409.5" customHeight="1">
      <c r="A5" s="36"/>
      <c r="B5" s="9" t="s">
        <v>305</v>
      </c>
      <c r="C5" s="9" t="s">
        <v>14</v>
      </c>
      <c r="D5" s="9" t="s">
        <v>102</v>
      </c>
      <c r="E5" s="9" t="str">
        <f t="shared" si="0"/>
        <v>Claims Data CaptureGeneral-All</v>
      </c>
      <c r="F5" s="9" t="s">
        <v>182</v>
      </c>
      <c r="G5" s="38" t="s">
        <v>789</v>
      </c>
      <c r="H5" s="9" t="s">
        <v>350</v>
      </c>
      <c r="I5" s="9" t="s">
        <v>255</v>
      </c>
      <c r="J5" s="9" t="s">
        <v>110</v>
      </c>
      <c r="K5" s="9" t="s">
        <v>15</v>
      </c>
      <c r="L5" s="38" t="s">
        <v>296</v>
      </c>
    </row>
    <row r="6" spans="1:12" s="5" customFormat="1" ht="265.5" customHeight="1">
      <c r="A6" s="36"/>
      <c r="B6" s="9" t="s">
        <v>305</v>
      </c>
      <c r="C6" s="9" t="s">
        <v>14</v>
      </c>
      <c r="D6" s="9" t="s">
        <v>93</v>
      </c>
      <c r="E6" s="9" t="str">
        <f t="shared" si="0"/>
        <v>Claims Data CaptureCS - IP/OP/Non Network</v>
      </c>
      <c r="F6" s="9" t="s">
        <v>183</v>
      </c>
      <c r="G6" s="38" t="s">
        <v>688</v>
      </c>
      <c r="H6" s="9" t="s">
        <v>92</v>
      </c>
      <c r="I6" s="9" t="s">
        <v>213</v>
      </c>
      <c r="J6" s="9" t="s">
        <v>100</v>
      </c>
      <c r="K6" s="9" t="s">
        <v>798</v>
      </c>
      <c r="L6" s="38"/>
    </row>
    <row r="7" spans="1:12" ht="258.75" customHeight="1">
      <c r="A7" s="36"/>
      <c r="B7" s="9" t="s">
        <v>305</v>
      </c>
      <c r="C7" s="9" t="s">
        <v>14</v>
      </c>
      <c r="D7" s="9" t="s">
        <v>102</v>
      </c>
      <c r="E7" s="9" t="str">
        <f t="shared" si="0"/>
        <v>Claims Data CaptureGeneral-All</v>
      </c>
      <c r="F7" s="9" t="s">
        <v>184</v>
      </c>
      <c r="G7" s="38" t="s">
        <v>763</v>
      </c>
      <c r="H7" s="9" t="s">
        <v>253</v>
      </c>
      <c r="I7" s="9" t="s">
        <v>255</v>
      </c>
      <c r="J7" s="9" t="s">
        <v>96</v>
      </c>
      <c r="K7" s="9" t="s">
        <v>799</v>
      </c>
      <c r="L7" s="38" t="s">
        <v>302</v>
      </c>
    </row>
    <row r="8" spans="1:12" ht="102.6" customHeight="1">
      <c r="A8" s="36"/>
      <c r="B8" s="9" t="s">
        <v>305</v>
      </c>
      <c r="C8" s="9" t="s">
        <v>14</v>
      </c>
      <c r="D8" s="9" t="s">
        <v>102</v>
      </c>
      <c r="E8" s="9" t="str">
        <f t="shared" si="0"/>
        <v>Claims Data CaptureGeneral-All</v>
      </c>
      <c r="F8" s="9" t="s">
        <v>185</v>
      </c>
      <c r="G8" s="38" t="s">
        <v>764</v>
      </c>
      <c r="H8" s="9" t="s">
        <v>214</v>
      </c>
      <c r="I8" s="9" t="s">
        <v>254</v>
      </c>
      <c r="J8" s="9" t="s">
        <v>96</v>
      </c>
      <c r="K8" s="22" t="s">
        <v>95</v>
      </c>
      <c r="L8" s="38"/>
    </row>
    <row r="9" spans="1:12" ht="249.75" customHeight="1">
      <c r="A9" s="36"/>
      <c r="B9" s="9" t="s">
        <v>305</v>
      </c>
      <c r="C9" s="9" t="s">
        <v>14</v>
      </c>
      <c r="D9" s="9" t="s">
        <v>102</v>
      </c>
      <c r="E9" s="9" t="str">
        <f t="shared" si="0"/>
        <v>Claims Data CaptureGeneral-All</v>
      </c>
      <c r="F9" s="9" t="s">
        <v>186</v>
      </c>
      <c r="G9" s="46" t="s">
        <v>691</v>
      </c>
      <c r="H9" s="9" t="s">
        <v>126</v>
      </c>
      <c r="I9" s="9" t="s">
        <v>254</v>
      </c>
      <c r="J9" s="9" t="s">
        <v>96</v>
      </c>
      <c r="K9" s="9" t="s">
        <v>800</v>
      </c>
      <c r="L9" s="38" t="s">
        <v>296</v>
      </c>
    </row>
    <row r="10" spans="1:12" s="34" customFormat="1" ht="187.5" customHeight="1">
      <c r="A10" s="36"/>
      <c r="B10" s="9" t="s">
        <v>305</v>
      </c>
      <c r="C10" s="9" t="s">
        <v>14</v>
      </c>
      <c r="D10" s="9" t="s">
        <v>102</v>
      </c>
      <c r="E10" s="9" t="str">
        <f t="shared" si="0"/>
        <v>Claims Data CaptureGeneral-All</v>
      </c>
      <c r="F10" s="9" t="s">
        <v>187</v>
      </c>
      <c r="G10" s="38" t="s">
        <v>760</v>
      </c>
      <c r="H10" s="9" t="s">
        <v>91</v>
      </c>
      <c r="I10" s="9" t="s">
        <v>213</v>
      </c>
      <c r="J10" s="9" t="s">
        <v>101</v>
      </c>
      <c r="K10" s="9" t="s">
        <v>800</v>
      </c>
      <c r="L10" s="38"/>
    </row>
    <row r="11" spans="1:12" ht="165.75" customHeight="1">
      <c r="A11" s="36"/>
      <c r="B11" s="9" t="s">
        <v>305</v>
      </c>
      <c r="C11" s="9" t="s">
        <v>14</v>
      </c>
      <c r="D11" s="9" t="s">
        <v>102</v>
      </c>
      <c r="E11" s="9" t="str">
        <f t="shared" si="0"/>
        <v>Claims Data CaptureGeneral-All</v>
      </c>
      <c r="F11" s="9" t="s">
        <v>188</v>
      </c>
      <c r="G11" s="38" t="s">
        <v>628</v>
      </c>
      <c r="H11" s="9" t="s">
        <v>91</v>
      </c>
      <c r="I11" s="9" t="s">
        <v>254</v>
      </c>
      <c r="J11" s="9" t="s">
        <v>97</v>
      </c>
      <c r="K11" s="22" t="s">
        <v>260</v>
      </c>
      <c r="L11" s="38" t="s">
        <v>302</v>
      </c>
    </row>
    <row r="12" spans="1:12" ht="71.400000000000006">
      <c r="A12" s="36"/>
      <c r="B12" s="9" t="s">
        <v>305</v>
      </c>
      <c r="C12" s="9" t="s">
        <v>14</v>
      </c>
      <c r="D12" s="9" t="s">
        <v>102</v>
      </c>
      <c r="E12" s="9" t="str">
        <f t="shared" si="0"/>
        <v>Claims Data CaptureGeneral-All</v>
      </c>
      <c r="F12" s="9" t="s">
        <v>189</v>
      </c>
      <c r="G12" s="38" t="s">
        <v>349</v>
      </c>
      <c r="H12" s="9" t="s">
        <v>126</v>
      </c>
      <c r="I12" s="9" t="s">
        <v>254</v>
      </c>
      <c r="J12" s="9" t="s">
        <v>17</v>
      </c>
      <c r="K12" s="9" t="s">
        <v>261</v>
      </c>
      <c r="L12" s="38" t="s">
        <v>302</v>
      </c>
    </row>
    <row r="13" spans="1:12" s="5" customFormat="1" ht="156.75" customHeight="1">
      <c r="A13" s="36"/>
      <c r="B13" s="9" t="s">
        <v>305</v>
      </c>
      <c r="C13" s="9" t="s">
        <v>14</v>
      </c>
      <c r="D13" s="9" t="s">
        <v>102</v>
      </c>
      <c r="E13" s="9" t="str">
        <f t="shared" si="0"/>
        <v>Claims Data CaptureGeneral-All</v>
      </c>
      <c r="F13" s="9" t="s">
        <v>190</v>
      </c>
      <c r="G13" s="38" t="s">
        <v>761</v>
      </c>
      <c r="H13" s="9" t="s">
        <v>126</v>
      </c>
      <c r="I13" s="9" t="s">
        <v>212</v>
      </c>
      <c r="J13" s="9" t="s">
        <v>17</v>
      </c>
      <c r="K13" s="9" t="s">
        <v>260</v>
      </c>
      <c r="L13" s="38" t="s">
        <v>302</v>
      </c>
    </row>
    <row r="14" spans="1:12" s="5" customFormat="1" ht="270" customHeight="1">
      <c r="A14" s="36"/>
      <c r="B14" s="9" t="s">
        <v>305</v>
      </c>
      <c r="C14" s="9" t="s">
        <v>14</v>
      </c>
      <c r="D14" s="9" t="s">
        <v>102</v>
      </c>
      <c r="E14" s="9" t="str">
        <f t="shared" si="0"/>
        <v>Claims Data CaptureGeneral-All</v>
      </c>
      <c r="F14" s="9" t="s">
        <v>191</v>
      </c>
      <c r="G14" s="38" t="s">
        <v>762</v>
      </c>
      <c r="H14" s="9" t="s">
        <v>126</v>
      </c>
      <c r="I14" s="9" t="s">
        <v>212</v>
      </c>
      <c r="J14" s="9" t="s">
        <v>17</v>
      </c>
      <c r="K14" s="9" t="s">
        <v>261</v>
      </c>
      <c r="L14" s="38" t="s">
        <v>302</v>
      </c>
    </row>
    <row r="15" spans="1:12" ht="172.95" customHeight="1">
      <c r="A15" s="36"/>
      <c r="B15" s="9" t="s">
        <v>305</v>
      </c>
      <c r="C15" s="22" t="s">
        <v>22</v>
      </c>
      <c r="D15" s="9" t="s">
        <v>102</v>
      </c>
      <c r="E15" s="9" t="str">
        <f t="shared" si="0"/>
        <v>Eligibility CheckGeneral-All</v>
      </c>
      <c r="F15" s="9" t="s">
        <v>192</v>
      </c>
      <c r="G15" s="38" t="s">
        <v>822</v>
      </c>
      <c r="H15" s="9" t="s">
        <v>214</v>
      </c>
      <c r="I15" s="9" t="s">
        <v>215</v>
      </c>
      <c r="J15" s="9" t="s">
        <v>17</v>
      </c>
      <c r="K15" s="91" t="s">
        <v>801</v>
      </c>
      <c r="L15" s="38" t="s">
        <v>296</v>
      </c>
    </row>
    <row r="16" spans="1:12" s="5" customFormat="1" ht="168.6" customHeight="1">
      <c r="A16" s="36"/>
      <c r="B16" s="9" t="s">
        <v>305</v>
      </c>
      <c r="C16" s="22" t="s">
        <v>22</v>
      </c>
      <c r="D16" s="9" t="s">
        <v>102</v>
      </c>
      <c r="E16" s="9" t="str">
        <f t="shared" si="0"/>
        <v>Eligibility CheckGeneral-All</v>
      </c>
      <c r="F16" s="9" t="s">
        <v>193</v>
      </c>
      <c r="G16" s="38" t="s">
        <v>630</v>
      </c>
      <c r="H16" s="9" t="s">
        <v>214</v>
      </c>
      <c r="I16" s="9" t="s">
        <v>254</v>
      </c>
      <c r="J16" s="9" t="s">
        <v>17</v>
      </c>
      <c r="K16" s="9" t="s">
        <v>802</v>
      </c>
      <c r="L16" s="38" t="s">
        <v>302</v>
      </c>
    </row>
    <row r="17" spans="1:12" s="5" customFormat="1" ht="91.8">
      <c r="A17" s="36"/>
      <c r="B17" s="9" t="s">
        <v>305</v>
      </c>
      <c r="C17" s="22" t="s">
        <v>22</v>
      </c>
      <c r="D17" s="9" t="s">
        <v>102</v>
      </c>
      <c r="E17" s="9" t="str">
        <f t="shared" si="0"/>
        <v>Eligibility CheckGeneral-All</v>
      </c>
      <c r="F17" s="9" t="s">
        <v>194</v>
      </c>
      <c r="G17" s="95" t="s">
        <v>352</v>
      </c>
      <c r="H17" s="9" t="s">
        <v>214</v>
      </c>
      <c r="I17" s="9" t="s">
        <v>255</v>
      </c>
      <c r="J17" s="9" t="s">
        <v>17</v>
      </c>
      <c r="K17" s="9" t="s">
        <v>803</v>
      </c>
      <c r="L17" s="38"/>
    </row>
    <row r="18" spans="1:12" s="5" customFormat="1" ht="201.6" customHeight="1">
      <c r="A18" s="36"/>
      <c r="B18" s="9" t="s">
        <v>305</v>
      </c>
      <c r="C18" s="22" t="s">
        <v>19</v>
      </c>
      <c r="D18" s="9" t="s">
        <v>102</v>
      </c>
      <c r="E18" s="9" t="str">
        <f t="shared" si="0"/>
        <v>Claims InformationGeneral-All</v>
      </c>
      <c r="F18" s="9" t="s">
        <v>195</v>
      </c>
      <c r="G18" s="38" t="s">
        <v>353</v>
      </c>
      <c r="H18" s="9" t="s">
        <v>126</v>
      </c>
      <c r="I18" s="9" t="s">
        <v>255</v>
      </c>
      <c r="J18" s="9" t="s">
        <v>17</v>
      </c>
      <c r="K18" s="9" t="s">
        <v>260</v>
      </c>
      <c r="L18" s="38" t="s">
        <v>296</v>
      </c>
    </row>
    <row r="19" spans="1:12" s="40" customFormat="1" ht="184.5" customHeight="1">
      <c r="A19" s="36"/>
      <c r="B19" s="9" t="s">
        <v>305</v>
      </c>
      <c r="C19" s="22" t="s">
        <v>19</v>
      </c>
      <c r="D19" s="9" t="s">
        <v>102</v>
      </c>
      <c r="E19" s="9" t="str">
        <f t="shared" si="0"/>
        <v>Claims InformationGeneral-All</v>
      </c>
      <c r="F19" s="9" t="s">
        <v>196</v>
      </c>
      <c r="G19" s="38" t="s">
        <v>538</v>
      </c>
      <c r="H19" s="9" t="s">
        <v>94</v>
      </c>
      <c r="I19" s="9" t="s">
        <v>255</v>
      </c>
      <c r="J19" s="9" t="s">
        <v>17</v>
      </c>
      <c r="K19" s="9" t="s">
        <v>260</v>
      </c>
      <c r="L19" s="38"/>
    </row>
    <row r="20" spans="1:12" s="40" customFormat="1" ht="142.80000000000001">
      <c r="A20" s="36"/>
      <c r="B20" s="9" t="s">
        <v>305</v>
      </c>
      <c r="C20" s="22" t="s">
        <v>19</v>
      </c>
      <c r="D20" s="9" t="s">
        <v>102</v>
      </c>
      <c r="E20" s="9" t="str">
        <f t="shared" si="0"/>
        <v>Claims InformationGeneral-All</v>
      </c>
      <c r="F20" s="9" t="s">
        <v>197</v>
      </c>
      <c r="G20" s="38" t="s">
        <v>508</v>
      </c>
      <c r="H20" s="9" t="s">
        <v>94</v>
      </c>
      <c r="I20" s="9" t="s">
        <v>255</v>
      </c>
      <c r="J20" s="9" t="s">
        <v>96</v>
      </c>
      <c r="K20" s="9" t="s">
        <v>260</v>
      </c>
      <c r="L20" s="38"/>
    </row>
    <row r="21" spans="1:12" ht="142.80000000000001">
      <c r="A21" s="36"/>
      <c r="B21" s="9" t="s">
        <v>305</v>
      </c>
      <c r="C21" s="22" t="s">
        <v>19</v>
      </c>
      <c r="D21" s="9" t="s">
        <v>102</v>
      </c>
      <c r="E21" s="9" t="str">
        <f t="shared" si="0"/>
        <v>Claims InformationGeneral-All</v>
      </c>
      <c r="F21" s="9" t="s">
        <v>198</v>
      </c>
      <c r="G21" s="9" t="s">
        <v>517</v>
      </c>
      <c r="H21" s="9" t="s">
        <v>256</v>
      </c>
      <c r="I21" s="9" t="s">
        <v>254</v>
      </c>
      <c r="J21" s="9" t="s">
        <v>17</v>
      </c>
      <c r="K21" s="9" t="s">
        <v>260</v>
      </c>
      <c r="L21" s="38" t="s">
        <v>296</v>
      </c>
    </row>
    <row r="22" spans="1:12" s="40" customFormat="1" ht="162" customHeight="1">
      <c r="A22" s="36"/>
      <c r="B22" s="9" t="s">
        <v>305</v>
      </c>
      <c r="C22" s="9" t="s">
        <v>7</v>
      </c>
      <c r="D22" s="9" t="s">
        <v>103</v>
      </c>
      <c r="E22" s="9" t="str">
        <f t="shared" si="0"/>
        <v xml:space="preserve">Vendor assignmentCS - IP/OP - China claims </v>
      </c>
      <c r="F22" s="9" t="s">
        <v>199</v>
      </c>
      <c r="G22" s="38" t="s">
        <v>520</v>
      </c>
      <c r="H22" s="9" t="s">
        <v>256</v>
      </c>
      <c r="I22" s="9" t="s">
        <v>254</v>
      </c>
      <c r="J22" s="9" t="s">
        <v>97</v>
      </c>
      <c r="K22" s="38" t="s">
        <v>804</v>
      </c>
      <c r="L22" s="38" t="s">
        <v>296</v>
      </c>
    </row>
    <row r="23" spans="1:12" ht="183.6">
      <c r="B23" s="9" t="s">
        <v>305</v>
      </c>
      <c r="C23" s="22" t="s">
        <v>22</v>
      </c>
      <c r="D23" s="9" t="s">
        <v>102</v>
      </c>
      <c r="E23" s="9" t="str">
        <f>CONCATENATE(C23,D23)</f>
        <v>Eligibility CheckGeneral-All</v>
      </c>
      <c r="F23" s="9" t="s">
        <v>308</v>
      </c>
      <c r="G23" s="38" t="s">
        <v>602</v>
      </c>
      <c r="H23" s="9" t="s">
        <v>214</v>
      </c>
      <c r="I23" s="9" t="s">
        <v>255</v>
      </c>
      <c r="J23" s="9" t="s">
        <v>17</v>
      </c>
      <c r="K23" s="91" t="s">
        <v>309</v>
      </c>
      <c r="L23" s="38" t="s">
        <v>296</v>
      </c>
    </row>
    <row r="24" spans="1:12" ht="120.75" customHeight="1">
      <c r="B24" s="9" t="s">
        <v>305</v>
      </c>
      <c r="C24" s="22" t="s">
        <v>22</v>
      </c>
      <c r="D24" s="9" t="s">
        <v>102</v>
      </c>
      <c r="E24" s="9" t="str">
        <f>CONCATENATE(C24,D24)</f>
        <v>Eligibility CheckGeneral-All</v>
      </c>
      <c r="F24" s="9" t="s">
        <v>310</v>
      </c>
      <c r="G24" s="97" t="s">
        <v>355</v>
      </c>
      <c r="H24" s="9" t="s">
        <v>214</v>
      </c>
      <c r="I24" s="9" t="s">
        <v>255</v>
      </c>
      <c r="J24" s="9" t="s">
        <v>17</v>
      </c>
      <c r="K24" s="91" t="s">
        <v>260</v>
      </c>
      <c r="L24" s="38"/>
    </row>
    <row r="25" spans="1:12" s="5" customFormat="1" ht="150.75" customHeight="1">
      <c r="A25" s="36"/>
      <c r="B25" s="9" t="s">
        <v>305</v>
      </c>
      <c r="C25" s="22" t="s">
        <v>19</v>
      </c>
      <c r="D25" s="9" t="s">
        <v>102</v>
      </c>
      <c r="E25" s="9" t="str">
        <f>CONCATENATE(C25,D25)</f>
        <v>Claims InformationGeneral-All</v>
      </c>
      <c r="F25" s="9" t="s">
        <v>507</v>
      </c>
      <c r="G25" s="39" t="s">
        <v>505</v>
      </c>
      <c r="H25" s="9" t="s">
        <v>214</v>
      </c>
      <c r="I25" s="9" t="s">
        <v>254</v>
      </c>
      <c r="J25" s="44" t="s">
        <v>96</v>
      </c>
      <c r="K25" s="44" t="s">
        <v>260</v>
      </c>
      <c r="L25" s="94"/>
    </row>
    <row r="26" spans="1:12" ht="85.5" customHeight="1">
      <c r="A26" s="36"/>
      <c r="B26" s="9" t="s">
        <v>305</v>
      </c>
      <c r="C26" s="22" t="s">
        <v>542</v>
      </c>
      <c r="D26" s="9" t="s">
        <v>102</v>
      </c>
      <c r="E26" s="9" t="str">
        <f>CONCATENATE(C26,D26)</f>
        <v>Claimant MasterGeneral-All</v>
      </c>
      <c r="F26" s="9" t="s">
        <v>551</v>
      </c>
      <c r="G26" s="39" t="s">
        <v>541</v>
      </c>
      <c r="H26" s="9" t="s">
        <v>126</v>
      </c>
      <c r="I26" s="9" t="s">
        <v>254</v>
      </c>
      <c r="J26" s="44" t="s">
        <v>17</v>
      </c>
      <c r="K26" s="44" t="s">
        <v>260</v>
      </c>
      <c r="L26" s="94"/>
    </row>
    <row r="34" spans="7:7">
      <c r="G34" s="42"/>
    </row>
  </sheetData>
  <mergeCells count="10">
    <mergeCell ref="L2:L3"/>
    <mergeCell ref="A1:A3"/>
    <mergeCell ref="C2:C3"/>
    <mergeCell ref="B2:B3"/>
    <mergeCell ref="J2:J3"/>
    <mergeCell ref="H2:H3"/>
    <mergeCell ref="G2:G3"/>
    <mergeCell ref="D2:D3"/>
    <mergeCell ref="F2:F3"/>
    <mergeCell ref="I2:I3"/>
  </mergeCells>
  <hyperlinks>
    <hyperlink ref="A1:A3" location="'A. Claims Story Map'!A1" display="Back"/>
  </hyperlinks>
  <printOptions horizontalCentered="1" gridLines="1"/>
  <pageMargins left="0.23622047244094491" right="0.23622047244094491" top="0.51181102362204722" bottom="0.51181102362204722" header="0.31496062992125984" footer="0.31496062992125984"/>
  <pageSetup paperSize="5" scale="80" fitToHeight="0" orientation="landscape" horizontalDpi="300" verticalDpi="300" r:id="rId1"/>
  <headerFooter>
    <oddHeader>&amp;F</oddHeader>
    <oddFooter>&amp;A&amp;RPage &amp;P</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00B0F0"/>
    <outlinePr summaryRight="0"/>
    <pageSetUpPr fitToPage="1"/>
  </sheetPr>
  <dimension ref="A1:L23"/>
  <sheetViews>
    <sheetView showGridLines="0" zoomScale="82" zoomScaleNormal="82" workbookViewId="0">
      <pane xSplit="7" ySplit="3" topLeftCell="H4" activePane="bottomRight" state="frozen"/>
      <selection activeCell="A4" sqref="A4:XFD4 A5:XFD5 A6:XFD6 A7:XFD7 A8:XFD8 A9:XFD9 A10:XFD10 A11:XFD11 A12:XFD12 A13:XFD13 A14:XFD14 A15:XFD15 A16:XFD16 A17:XFD17 A18:XFD18 A19:XFD19 A20:XFD20 A21:XFD21 A22:XFD22 A23:XFD23 A24:XFD24 A25:XFD25 A26:XFD26"/>
      <selection pane="topRight" activeCell="A4" sqref="A4:XFD4 A5:XFD5 A6:XFD6 A7:XFD7 A8:XFD8 A9:XFD9 A10:XFD10 A11:XFD11 A12:XFD12 A13:XFD13 A14:XFD14 A15:XFD15 A16:XFD16 A17:XFD17 A18:XFD18 A19:XFD19 A20:XFD20 A21:XFD21 A22:XFD22 A23:XFD23 A24:XFD24 A25:XFD25 A26:XFD26"/>
      <selection pane="bottomLeft" activeCell="A4" sqref="A4:XFD4 A5:XFD5 A6:XFD6 A7:XFD7 A8:XFD8 A9:XFD9 A10:XFD10 A11:XFD11 A12:XFD12 A13:XFD13 A14:XFD14 A15:XFD15 A16:XFD16 A17:XFD17 A18:XFD18 A19:XFD19 A20:XFD20 A21:XFD21 A22:XFD22 A23:XFD23 A24:XFD24 A25:XFD25 A26:XFD26"/>
      <selection pane="bottomRight" activeCell="B2" sqref="B2:B3"/>
    </sheetView>
  </sheetViews>
  <sheetFormatPr defaultColWidth="9.109375" defaultRowHeight="14.4"/>
  <cols>
    <col min="1" max="1" width="3.109375" style="5" bestFit="1" customWidth="1"/>
    <col min="2" max="2" width="10.88671875" style="5" customWidth="1"/>
    <col min="3" max="3" width="14.6640625" style="5" customWidth="1"/>
    <col min="4" max="4" width="12.6640625" style="5" customWidth="1"/>
    <col min="5" max="5" width="17.88671875" style="5" customWidth="1"/>
    <col min="6" max="6" width="14.6640625" style="5" customWidth="1"/>
    <col min="7" max="7" width="74.109375" style="5" customWidth="1"/>
    <col min="8" max="8" width="14.5546875" style="1" customWidth="1"/>
    <col min="9" max="9" width="21.109375" style="1" customWidth="1"/>
    <col min="10" max="10" width="14.88671875" style="1" customWidth="1"/>
    <col min="11" max="11" width="20.88671875" style="1" customWidth="1"/>
    <col min="12" max="12" width="24.109375" customWidth="1"/>
    <col min="13" max="16384" width="9.109375" style="5"/>
  </cols>
  <sheetData>
    <row r="1" spans="1:12" s="3" customFormat="1" ht="15" customHeight="1">
      <c r="A1" s="166" t="s">
        <v>53</v>
      </c>
      <c r="B1" s="2" t="s">
        <v>88</v>
      </c>
      <c r="C1" s="2"/>
      <c r="D1" s="2"/>
      <c r="E1" s="2"/>
      <c r="F1" s="2"/>
      <c r="G1" s="2"/>
      <c r="H1" s="41"/>
      <c r="I1" s="41"/>
      <c r="J1" s="2"/>
      <c r="K1" s="41"/>
      <c r="L1" s="93"/>
    </row>
    <row r="2" spans="1:12" ht="20.25" customHeight="1">
      <c r="A2" s="166"/>
      <c r="B2" s="159" t="s">
        <v>0</v>
      </c>
      <c r="C2" s="159" t="s">
        <v>1</v>
      </c>
      <c r="D2" s="159" t="s">
        <v>23</v>
      </c>
      <c r="E2" s="24"/>
      <c r="F2" s="159" t="s">
        <v>9</v>
      </c>
      <c r="G2" s="159" t="s">
        <v>10</v>
      </c>
      <c r="H2" s="159" t="s">
        <v>150</v>
      </c>
      <c r="I2" s="159" t="s">
        <v>351</v>
      </c>
      <c r="J2" s="159" t="s">
        <v>8</v>
      </c>
      <c r="K2" s="50" t="s">
        <v>84</v>
      </c>
      <c r="L2" s="165" t="s">
        <v>301</v>
      </c>
    </row>
    <row r="3" spans="1:12" ht="23.25" customHeight="1">
      <c r="A3" s="166"/>
      <c r="B3" s="160"/>
      <c r="C3" s="160"/>
      <c r="D3" s="160"/>
      <c r="E3" s="25"/>
      <c r="F3" s="160"/>
      <c r="G3" s="160"/>
      <c r="H3" s="160"/>
      <c r="I3" s="160"/>
      <c r="J3" s="160"/>
      <c r="K3" s="4" t="s">
        <v>11</v>
      </c>
      <c r="L3" s="165"/>
    </row>
    <row r="4" spans="1:12" ht="334.95" customHeight="1">
      <c r="A4" s="20"/>
      <c r="B4" s="35" t="s">
        <v>12</v>
      </c>
      <c r="C4" s="35" t="s">
        <v>21</v>
      </c>
      <c r="D4" s="35" t="s">
        <v>54</v>
      </c>
      <c r="E4" s="35" t="str">
        <f t="shared" ref="E4:E15" si="0">CONCATENATE(C4,D4)</f>
        <v>Claims RegistrationGeneral</v>
      </c>
      <c r="F4" s="9" t="s">
        <v>200</v>
      </c>
      <c r="G4" s="39" t="s">
        <v>529</v>
      </c>
      <c r="H4" s="9" t="s">
        <v>214</v>
      </c>
      <c r="I4" s="9" t="s">
        <v>254</v>
      </c>
      <c r="J4" s="44" t="s">
        <v>96</v>
      </c>
      <c r="K4" s="44" t="s">
        <v>260</v>
      </c>
      <c r="L4" s="37" t="s">
        <v>296</v>
      </c>
    </row>
    <row r="5" spans="1:12" ht="81.599999999999994">
      <c r="A5" s="36"/>
      <c r="B5" s="35" t="s">
        <v>12</v>
      </c>
      <c r="C5" s="35" t="s">
        <v>21</v>
      </c>
      <c r="D5" s="35" t="s">
        <v>54</v>
      </c>
      <c r="E5" s="35" t="str">
        <f>CONCATENATE(C5,D5)</f>
        <v>Claims RegistrationGeneral</v>
      </c>
      <c r="F5" s="9" t="s">
        <v>201</v>
      </c>
      <c r="G5" s="39" t="s">
        <v>434</v>
      </c>
      <c r="H5" s="9" t="s">
        <v>214</v>
      </c>
      <c r="I5" s="9" t="s">
        <v>254</v>
      </c>
      <c r="J5" s="44" t="s">
        <v>96</v>
      </c>
      <c r="K5" s="44" t="s">
        <v>260</v>
      </c>
      <c r="L5" s="94"/>
    </row>
    <row r="6" spans="1:12" ht="316.2">
      <c r="A6" s="36"/>
      <c r="B6" s="35" t="s">
        <v>12</v>
      </c>
      <c r="C6" s="35" t="s">
        <v>21</v>
      </c>
      <c r="D6" s="35" t="s">
        <v>54</v>
      </c>
      <c r="E6" s="35" t="str">
        <f>CONCATENATE(C6,D6)</f>
        <v>Claims RegistrationGeneral</v>
      </c>
      <c r="F6" s="9" t="s">
        <v>202</v>
      </c>
      <c r="G6" s="39" t="s">
        <v>616</v>
      </c>
      <c r="H6" s="9" t="s">
        <v>214</v>
      </c>
      <c r="I6" s="9" t="s">
        <v>254</v>
      </c>
      <c r="J6" s="44" t="s">
        <v>17</v>
      </c>
      <c r="K6" s="44" t="s">
        <v>260</v>
      </c>
      <c r="L6" s="37" t="s">
        <v>296</v>
      </c>
    </row>
    <row r="7" spans="1:12" ht="78.75" customHeight="1">
      <c r="A7" s="36"/>
      <c r="B7" s="35" t="s">
        <v>12</v>
      </c>
      <c r="C7" s="35" t="s">
        <v>21</v>
      </c>
      <c r="D7" s="35" t="s">
        <v>54</v>
      </c>
      <c r="E7" s="35" t="str">
        <f>CONCATENATE(C7,D7)</f>
        <v>Claims RegistrationGeneral</v>
      </c>
      <c r="F7" s="9" t="s">
        <v>203</v>
      </c>
      <c r="G7" s="39" t="s">
        <v>435</v>
      </c>
      <c r="H7" s="9" t="s">
        <v>214</v>
      </c>
      <c r="I7" s="9" t="s">
        <v>212</v>
      </c>
      <c r="J7" s="44" t="s">
        <v>17</v>
      </c>
      <c r="K7" s="44" t="s">
        <v>260</v>
      </c>
      <c r="L7" s="94"/>
    </row>
    <row r="8" spans="1:12" ht="275.39999999999998">
      <c r="A8" s="36"/>
      <c r="B8" s="35" t="s">
        <v>12</v>
      </c>
      <c r="C8" s="35" t="s">
        <v>5</v>
      </c>
      <c r="D8" s="35" t="s">
        <v>54</v>
      </c>
      <c r="E8" s="35" t="str">
        <f t="shared" si="0"/>
        <v>Initial reserves calculationsGeneral</v>
      </c>
      <c r="F8" s="96" t="s">
        <v>204</v>
      </c>
      <c r="G8" s="39" t="s">
        <v>534</v>
      </c>
      <c r="H8" s="9" t="s">
        <v>126</v>
      </c>
      <c r="I8" s="9" t="s">
        <v>213</v>
      </c>
      <c r="J8" s="43" t="s">
        <v>17</v>
      </c>
      <c r="K8" s="43" t="s">
        <v>260</v>
      </c>
      <c r="L8" s="37" t="s">
        <v>296</v>
      </c>
    </row>
    <row r="9" spans="1:12" ht="87" customHeight="1">
      <c r="A9" s="36"/>
      <c r="B9" s="35" t="s">
        <v>12</v>
      </c>
      <c r="C9" s="35" t="s">
        <v>4</v>
      </c>
      <c r="D9" s="35" t="s">
        <v>54</v>
      </c>
      <c r="E9" s="35" t="str">
        <f t="shared" si="0"/>
        <v>Fraud detectionGeneral</v>
      </c>
      <c r="F9" s="9" t="s">
        <v>205</v>
      </c>
      <c r="G9" s="39" t="s">
        <v>436</v>
      </c>
      <c r="H9" s="9" t="s">
        <v>126</v>
      </c>
      <c r="I9" s="9" t="s">
        <v>213</v>
      </c>
      <c r="J9" s="44" t="s">
        <v>96</v>
      </c>
      <c r="K9" s="43" t="s">
        <v>805</v>
      </c>
      <c r="L9" s="37" t="s">
        <v>306</v>
      </c>
    </row>
    <row r="10" spans="1:12" ht="96" customHeight="1">
      <c r="A10" s="36"/>
      <c r="B10" s="35" t="s">
        <v>12</v>
      </c>
      <c r="C10" s="35" t="s">
        <v>4</v>
      </c>
      <c r="D10" s="35" t="s">
        <v>54</v>
      </c>
      <c r="E10" s="35" t="str">
        <f t="shared" si="0"/>
        <v>Fraud detectionGeneral</v>
      </c>
      <c r="F10" s="9" t="s">
        <v>206</v>
      </c>
      <c r="G10" s="39" t="s">
        <v>438</v>
      </c>
      <c r="H10" s="9" t="s">
        <v>126</v>
      </c>
      <c r="I10" s="9" t="s">
        <v>213</v>
      </c>
      <c r="J10" s="43" t="s">
        <v>104</v>
      </c>
      <c r="K10" s="43" t="s">
        <v>805</v>
      </c>
      <c r="L10" s="37" t="s">
        <v>296</v>
      </c>
    </row>
    <row r="11" spans="1:12" ht="87" customHeight="1">
      <c r="A11" s="36"/>
      <c r="B11" s="35" t="s">
        <v>12</v>
      </c>
      <c r="C11" s="45" t="s">
        <v>52</v>
      </c>
      <c r="D11" s="35" t="s">
        <v>54</v>
      </c>
      <c r="E11" s="35" t="str">
        <f t="shared" si="0"/>
        <v>Recovery IdentificationGeneral</v>
      </c>
      <c r="F11" s="9" t="s">
        <v>207</v>
      </c>
      <c r="G11" s="39" t="s">
        <v>439</v>
      </c>
      <c r="H11" s="9" t="s">
        <v>126</v>
      </c>
      <c r="I11" s="9" t="s">
        <v>213</v>
      </c>
      <c r="J11" s="43" t="s">
        <v>85</v>
      </c>
      <c r="K11" s="43" t="s">
        <v>440</v>
      </c>
      <c r="L11" s="37" t="s">
        <v>296</v>
      </c>
    </row>
    <row r="12" spans="1:12" ht="132.6">
      <c r="A12" s="36"/>
      <c r="B12" s="35" t="s">
        <v>12</v>
      </c>
      <c r="C12" s="35" t="s">
        <v>106</v>
      </c>
      <c r="D12" s="35" t="s">
        <v>54</v>
      </c>
      <c r="E12" s="35" t="str">
        <f t="shared" si="0"/>
        <v>Reinsurance/coinsurance notificationGeneral</v>
      </c>
      <c r="F12" s="96" t="s">
        <v>208</v>
      </c>
      <c r="G12" s="39" t="s">
        <v>441</v>
      </c>
      <c r="H12" s="9" t="s">
        <v>126</v>
      </c>
      <c r="I12" s="9" t="s">
        <v>254</v>
      </c>
      <c r="J12" s="43" t="s">
        <v>105</v>
      </c>
      <c r="K12" s="43" t="s">
        <v>806</v>
      </c>
      <c r="L12" s="94"/>
    </row>
    <row r="13" spans="1:12" ht="137.25" customHeight="1">
      <c r="A13" s="36"/>
      <c r="B13" s="35" t="s">
        <v>12</v>
      </c>
      <c r="C13" s="35" t="s">
        <v>6</v>
      </c>
      <c r="D13" s="35" t="s">
        <v>54</v>
      </c>
      <c r="E13" s="35" t="str">
        <f t="shared" si="0"/>
        <v>Claims segmentationGeneral</v>
      </c>
      <c r="F13" s="9" t="s">
        <v>209</v>
      </c>
      <c r="G13" s="39" t="s">
        <v>443</v>
      </c>
      <c r="H13" s="9" t="s">
        <v>126</v>
      </c>
      <c r="I13" s="9" t="s">
        <v>255</v>
      </c>
      <c r="J13" s="43" t="s">
        <v>17</v>
      </c>
      <c r="K13" s="43" t="s">
        <v>264</v>
      </c>
      <c r="L13" s="37" t="s">
        <v>307</v>
      </c>
    </row>
    <row r="14" spans="1:12" ht="153">
      <c r="A14" s="36"/>
      <c r="B14" s="35" t="s">
        <v>12</v>
      </c>
      <c r="C14" s="35" t="s">
        <v>20</v>
      </c>
      <c r="D14" s="35" t="s">
        <v>54</v>
      </c>
      <c r="E14" s="35" t="str">
        <f t="shared" si="0"/>
        <v>Claims AssignmentGeneral</v>
      </c>
      <c r="F14" s="9" t="s">
        <v>210</v>
      </c>
      <c r="G14" s="39" t="s">
        <v>506</v>
      </c>
      <c r="H14" s="9" t="s">
        <v>126</v>
      </c>
      <c r="I14" s="9" t="s">
        <v>255</v>
      </c>
      <c r="J14" s="43" t="s">
        <v>17</v>
      </c>
      <c r="K14" s="43" t="s">
        <v>264</v>
      </c>
      <c r="L14" s="37" t="s">
        <v>296</v>
      </c>
    </row>
    <row r="15" spans="1:12" ht="75.75" customHeight="1">
      <c r="A15" s="36"/>
      <c r="B15" s="35" t="s">
        <v>12</v>
      </c>
      <c r="C15" s="35" t="s">
        <v>20</v>
      </c>
      <c r="D15" s="35" t="s">
        <v>54</v>
      </c>
      <c r="E15" s="35" t="str">
        <f t="shared" si="0"/>
        <v>Claims AssignmentGeneral</v>
      </c>
      <c r="F15" s="9" t="s">
        <v>211</v>
      </c>
      <c r="G15" s="39" t="s">
        <v>444</v>
      </c>
      <c r="H15" s="9" t="s">
        <v>92</v>
      </c>
      <c r="I15" s="9" t="s">
        <v>255</v>
      </c>
      <c r="J15" s="43" t="s">
        <v>86</v>
      </c>
      <c r="K15" s="43" t="s">
        <v>263</v>
      </c>
      <c r="L15" s="94"/>
    </row>
    <row r="16" spans="1:12" ht="160.19999999999999" customHeight="1">
      <c r="B16" s="35" t="s">
        <v>12</v>
      </c>
      <c r="C16" s="35" t="s">
        <v>21</v>
      </c>
      <c r="D16" s="35" t="s">
        <v>54</v>
      </c>
      <c r="E16" s="35" t="str">
        <f t="shared" ref="E16:E21" si="1">CONCATENATE(C16,D16)</f>
        <v>Claims RegistrationGeneral</v>
      </c>
      <c r="F16" s="96" t="s">
        <v>294</v>
      </c>
      <c r="G16" s="39" t="s">
        <v>765</v>
      </c>
      <c r="H16" s="9" t="s">
        <v>91</v>
      </c>
      <c r="I16" s="9" t="s">
        <v>254</v>
      </c>
      <c r="J16" s="44" t="s">
        <v>17</v>
      </c>
      <c r="K16" s="44" t="s">
        <v>260</v>
      </c>
      <c r="L16" s="37" t="s">
        <v>296</v>
      </c>
    </row>
    <row r="17" spans="1:12" ht="82.2" customHeight="1">
      <c r="B17" s="35" t="s">
        <v>12</v>
      </c>
      <c r="C17" s="35" t="s">
        <v>21</v>
      </c>
      <c r="D17" s="35" t="s">
        <v>54</v>
      </c>
      <c r="E17" s="35" t="str">
        <f t="shared" si="1"/>
        <v>Claims RegistrationGeneral</v>
      </c>
      <c r="F17" s="9" t="s">
        <v>297</v>
      </c>
      <c r="G17" s="92" t="s">
        <v>696</v>
      </c>
      <c r="H17" s="9" t="s">
        <v>126</v>
      </c>
      <c r="I17" s="9" t="s">
        <v>254</v>
      </c>
      <c r="J17" s="44" t="s">
        <v>17</v>
      </c>
      <c r="K17" s="44" t="s">
        <v>260</v>
      </c>
      <c r="L17" s="37"/>
    </row>
    <row r="18" spans="1:12" ht="137.4" customHeight="1">
      <c r="B18" s="35" t="s">
        <v>12</v>
      </c>
      <c r="C18" s="35" t="s">
        <v>21</v>
      </c>
      <c r="D18" s="35" t="s">
        <v>54</v>
      </c>
      <c r="E18" s="35" t="str">
        <f t="shared" si="1"/>
        <v>Claims RegistrationGeneral</v>
      </c>
      <c r="F18" s="9" t="s">
        <v>298</v>
      </c>
      <c r="G18" s="92" t="s">
        <v>603</v>
      </c>
      <c r="H18" s="9" t="s">
        <v>126</v>
      </c>
      <c r="I18" s="9" t="s">
        <v>254</v>
      </c>
      <c r="J18" s="44" t="s">
        <v>17</v>
      </c>
      <c r="K18" s="44" t="s">
        <v>260</v>
      </c>
      <c r="L18" s="37" t="s">
        <v>296</v>
      </c>
    </row>
    <row r="19" spans="1:12" s="40" customFormat="1" ht="137.4" customHeight="1">
      <c r="A19" s="36"/>
      <c r="B19" s="35" t="s">
        <v>12</v>
      </c>
      <c r="C19" s="35" t="s">
        <v>57</v>
      </c>
      <c r="D19" s="9" t="s">
        <v>102</v>
      </c>
      <c r="E19" s="9" t="str">
        <f t="shared" si="1"/>
        <v>Confirmation of Loss NotificationGeneral-All</v>
      </c>
      <c r="F19" s="9" t="s">
        <v>509</v>
      </c>
      <c r="G19" s="38" t="s">
        <v>533</v>
      </c>
      <c r="H19" s="9" t="s">
        <v>94</v>
      </c>
      <c r="I19" s="9" t="s">
        <v>213</v>
      </c>
      <c r="J19" s="9" t="s">
        <v>97</v>
      </c>
      <c r="K19" s="38" t="s">
        <v>354</v>
      </c>
      <c r="L19" s="38"/>
    </row>
    <row r="20" spans="1:12" customFormat="1" ht="133.5" customHeight="1">
      <c r="A20" s="36"/>
      <c r="B20" s="35" t="s">
        <v>12</v>
      </c>
      <c r="C20" s="35" t="s">
        <v>57</v>
      </c>
      <c r="D20" s="9" t="s">
        <v>102</v>
      </c>
      <c r="E20" s="9" t="str">
        <f t="shared" si="1"/>
        <v>Confirmation of Loss NotificationGeneral-All</v>
      </c>
      <c r="F20" s="9" t="s">
        <v>510</v>
      </c>
      <c r="G20" s="8" t="s">
        <v>609</v>
      </c>
      <c r="H20" s="9" t="s">
        <v>94</v>
      </c>
      <c r="I20" s="9" t="s">
        <v>213</v>
      </c>
      <c r="J20" s="9" t="s">
        <v>98</v>
      </c>
      <c r="K20" s="9" t="s">
        <v>99</v>
      </c>
      <c r="L20" s="38"/>
    </row>
    <row r="21" spans="1:12" ht="152.25" customHeight="1">
      <c r="A21" s="36"/>
      <c r="B21" s="35" t="s">
        <v>12</v>
      </c>
      <c r="C21" s="35" t="s">
        <v>21</v>
      </c>
      <c r="D21" s="35" t="s">
        <v>54</v>
      </c>
      <c r="E21" s="35" t="str">
        <f t="shared" si="1"/>
        <v>Claims RegistrationGeneral</v>
      </c>
      <c r="F21" s="9" t="s">
        <v>605</v>
      </c>
      <c r="G21" s="39" t="s">
        <v>610</v>
      </c>
      <c r="H21" s="9" t="s">
        <v>126</v>
      </c>
      <c r="I21" s="9" t="s">
        <v>606</v>
      </c>
      <c r="J21" s="9" t="s">
        <v>17</v>
      </c>
      <c r="K21" s="9" t="s">
        <v>260</v>
      </c>
      <c r="L21" s="9" t="s">
        <v>296</v>
      </c>
    </row>
    <row r="22" spans="1:12" ht="87.75" customHeight="1"/>
    <row r="23" spans="1:12" ht="173.4">
      <c r="G23" s="123" t="s">
        <v>433</v>
      </c>
    </row>
  </sheetData>
  <mergeCells count="10">
    <mergeCell ref="L2:L3"/>
    <mergeCell ref="A1:A3"/>
    <mergeCell ref="J2:J3"/>
    <mergeCell ref="F2:F3"/>
    <mergeCell ref="B2:B3"/>
    <mergeCell ref="C2:C3"/>
    <mergeCell ref="D2:D3"/>
    <mergeCell ref="G2:G3"/>
    <mergeCell ref="H2:H3"/>
    <mergeCell ref="I2:I3"/>
  </mergeCells>
  <hyperlinks>
    <hyperlink ref="A1:A3" location="'A. Claims Story Map'!A1" display="Back"/>
  </hyperlinks>
  <printOptions horizontalCentered="1" gridLines="1"/>
  <pageMargins left="0.23622047244094491" right="0.23622047244094491" top="0.51181102362204722" bottom="0.51181102362204722" header="0.31496062992125984" footer="0.31496062992125984"/>
  <pageSetup paperSize="5" scale="82" fitToHeight="0" orientation="landscape" horizontalDpi="300" verticalDpi="300" r:id="rId1"/>
  <headerFooter>
    <oddHeader>&amp;F</oddHeader>
    <oddFooter>&amp;A&amp;RPage &amp;P</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B0F0"/>
    <outlinePr summaryRight="0"/>
    <pageSetUpPr fitToPage="1"/>
  </sheetPr>
  <dimension ref="A1:L47"/>
  <sheetViews>
    <sheetView showGridLines="0" zoomScale="80" zoomScaleNormal="80" workbookViewId="0">
      <selection activeCell="B2" sqref="B2:B3"/>
    </sheetView>
  </sheetViews>
  <sheetFormatPr defaultColWidth="9.109375" defaultRowHeight="14.4"/>
  <cols>
    <col min="1" max="1" width="3.109375" style="5" bestFit="1" customWidth="1"/>
    <col min="2" max="2" width="11.44140625" style="5" customWidth="1"/>
    <col min="3" max="3" width="13.88671875" style="5" customWidth="1"/>
    <col min="4" max="4" width="9.88671875" style="5" customWidth="1"/>
    <col min="5" max="5" width="16" style="5" hidden="1" customWidth="1"/>
    <col min="6" max="6" width="14.5546875" style="5" customWidth="1"/>
    <col min="7" max="7" width="66.6640625" style="5" customWidth="1"/>
    <col min="8" max="9" width="14.5546875" style="1" customWidth="1"/>
    <col min="10" max="10" width="10.88671875" style="1" customWidth="1"/>
    <col min="11" max="11" width="17.33203125" style="1" customWidth="1"/>
    <col min="12" max="12" width="19.33203125" style="5" bestFit="1" customWidth="1"/>
    <col min="13" max="16384" width="9.109375" style="5"/>
  </cols>
  <sheetData>
    <row r="1" spans="1:12" s="3" customFormat="1">
      <c r="A1" s="166" t="s">
        <v>53</v>
      </c>
      <c r="B1" s="2" t="s">
        <v>108</v>
      </c>
      <c r="C1" s="2"/>
      <c r="D1" s="2"/>
      <c r="E1" s="2"/>
      <c r="F1" s="2"/>
      <c r="G1" s="2"/>
      <c r="H1" s="41"/>
      <c r="I1" s="41"/>
      <c r="J1" s="41"/>
      <c r="K1" s="41"/>
      <c r="L1" s="93"/>
    </row>
    <row r="2" spans="1:12" ht="24" customHeight="1">
      <c r="A2" s="166"/>
      <c r="B2" s="159" t="s">
        <v>0</v>
      </c>
      <c r="C2" s="159" t="s">
        <v>1</v>
      </c>
      <c r="D2" s="159" t="s">
        <v>23</v>
      </c>
      <c r="E2" s="52"/>
      <c r="F2" s="159" t="s">
        <v>9</v>
      </c>
      <c r="G2" s="159" t="s">
        <v>10</v>
      </c>
      <c r="H2" s="159" t="s">
        <v>150</v>
      </c>
      <c r="I2" s="159" t="s">
        <v>351</v>
      </c>
      <c r="J2" s="159" t="s">
        <v>8</v>
      </c>
      <c r="K2" s="49" t="s">
        <v>84</v>
      </c>
      <c r="L2" s="169" t="s">
        <v>301</v>
      </c>
    </row>
    <row r="3" spans="1:12">
      <c r="A3" s="166"/>
      <c r="B3" s="160"/>
      <c r="C3" s="160"/>
      <c r="D3" s="160"/>
      <c r="E3" s="53"/>
      <c r="F3" s="160"/>
      <c r="G3" s="160"/>
      <c r="H3" s="160"/>
      <c r="I3" s="160"/>
      <c r="J3" s="160"/>
      <c r="K3" s="4" t="s">
        <v>11</v>
      </c>
      <c r="L3" s="169"/>
    </row>
    <row r="4" spans="1:12" ht="175.2" customHeight="1">
      <c r="A4" s="36"/>
      <c r="B4" s="35" t="s">
        <v>13</v>
      </c>
      <c r="C4" s="9" t="s">
        <v>410</v>
      </c>
      <c r="D4" s="35" t="s">
        <v>54</v>
      </c>
      <c r="E4" s="35" t="str">
        <f t="shared" ref="E4:E35" si="0">CONCATENATE(C4,D4)</f>
        <v>Coordination of benefitsGeneral</v>
      </c>
      <c r="F4" s="9" t="s">
        <v>552</v>
      </c>
      <c r="G4" s="58" t="s">
        <v>599</v>
      </c>
      <c r="H4" s="9" t="s">
        <v>126</v>
      </c>
      <c r="I4" s="9" t="s">
        <v>212</v>
      </c>
      <c r="J4" s="43" t="s">
        <v>101</v>
      </c>
      <c r="K4" s="38" t="s">
        <v>260</v>
      </c>
      <c r="L4" s="9" t="s">
        <v>411</v>
      </c>
    </row>
    <row r="5" spans="1:12" ht="159" customHeight="1">
      <c r="A5" s="36"/>
      <c r="B5" s="9" t="s">
        <v>13</v>
      </c>
      <c r="C5" s="9" t="s">
        <v>137</v>
      </c>
      <c r="D5" s="35" t="s">
        <v>54</v>
      </c>
      <c r="E5" s="35" t="str">
        <f t="shared" si="0"/>
        <v>Claims AssessmentGeneral</v>
      </c>
      <c r="F5" s="9" t="s">
        <v>553</v>
      </c>
      <c r="G5" s="64" t="s">
        <v>412</v>
      </c>
      <c r="H5" s="9" t="s">
        <v>126</v>
      </c>
      <c r="I5" s="9" t="s">
        <v>303</v>
      </c>
      <c r="J5" s="43" t="s">
        <v>101</v>
      </c>
      <c r="K5" s="38" t="s">
        <v>260</v>
      </c>
      <c r="L5" s="9" t="s">
        <v>411</v>
      </c>
    </row>
    <row r="6" spans="1:12" ht="213.6" customHeight="1">
      <c r="B6" s="9" t="s">
        <v>13</v>
      </c>
      <c r="C6" s="9" t="s">
        <v>137</v>
      </c>
      <c r="D6" s="35" t="s">
        <v>54</v>
      </c>
      <c r="E6" s="35" t="str">
        <f t="shared" si="0"/>
        <v>Claims AssessmentGeneral</v>
      </c>
      <c r="F6" s="9" t="s">
        <v>554</v>
      </c>
      <c r="G6" s="58" t="s">
        <v>413</v>
      </c>
      <c r="H6" s="9" t="s">
        <v>214</v>
      </c>
      <c r="I6" s="9" t="s">
        <v>255</v>
      </c>
      <c r="J6" s="43" t="s">
        <v>101</v>
      </c>
      <c r="K6" s="38" t="s">
        <v>807</v>
      </c>
      <c r="L6" s="9" t="s">
        <v>411</v>
      </c>
    </row>
    <row r="7" spans="1:12" ht="247.5" customHeight="1">
      <c r="B7" s="9" t="s">
        <v>13</v>
      </c>
      <c r="C7" s="9" t="s">
        <v>137</v>
      </c>
      <c r="D7" s="35" t="s">
        <v>54</v>
      </c>
      <c r="E7" s="35" t="str">
        <f t="shared" si="0"/>
        <v>Claims AssessmentGeneral</v>
      </c>
      <c r="F7" s="9" t="s">
        <v>555</v>
      </c>
      <c r="G7" s="58" t="s">
        <v>539</v>
      </c>
      <c r="H7" s="9" t="s">
        <v>126</v>
      </c>
      <c r="I7" s="9" t="s">
        <v>273</v>
      </c>
      <c r="J7" s="43" t="s">
        <v>101</v>
      </c>
      <c r="K7" s="38" t="s">
        <v>808</v>
      </c>
      <c r="L7" s="9"/>
    </row>
    <row r="8" spans="1:12" ht="243.6" customHeight="1">
      <c r="B8" s="9" t="s">
        <v>13</v>
      </c>
      <c r="C8" s="9" t="s">
        <v>137</v>
      </c>
      <c r="D8" s="35" t="s">
        <v>54</v>
      </c>
      <c r="E8" s="35" t="str">
        <f t="shared" si="0"/>
        <v>Claims AssessmentGeneral</v>
      </c>
      <c r="F8" s="9" t="s">
        <v>556</v>
      </c>
      <c r="G8" s="58" t="s">
        <v>758</v>
      </c>
      <c r="H8" s="9" t="s">
        <v>126</v>
      </c>
      <c r="I8" s="9" t="s">
        <v>212</v>
      </c>
      <c r="J8" s="43" t="s">
        <v>101</v>
      </c>
      <c r="K8" s="38" t="s">
        <v>260</v>
      </c>
      <c r="L8" s="9" t="s">
        <v>312</v>
      </c>
    </row>
    <row r="9" spans="1:12" ht="393.6" customHeight="1">
      <c r="B9" s="9" t="s">
        <v>13</v>
      </c>
      <c r="C9" s="9" t="s">
        <v>137</v>
      </c>
      <c r="D9" s="35" t="s">
        <v>54</v>
      </c>
      <c r="E9" s="35" t="str">
        <f t="shared" si="0"/>
        <v>Claims AssessmentGeneral</v>
      </c>
      <c r="F9" s="9" t="s">
        <v>557</v>
      </c>
      <c r="G9" s="58" t="s">
        <v>447</v>
      </c>
      <c r="H9" s="9" t="s">
        <v>126</v>
      </c>
      <c r="I9" s="9" t="s">
        <v>267</v>
      </c>
      <c r="J9" s="43" t="s">
        <v>101</v>
      </c>
      <c r="K9" s="38" t="s">
        <v>260</v>
      </c>
      <c r="L9" s="9" t="s">
        <v>296</v>
      </c>
    </row>
    <row r="10" spans="1:12" ht="224.4">
      <c r="B10" s="9" t="s">
        <v>13</v>
      </c>
      <c r="C10" s="9" t="s">
        <v>410</v>
      </c>
      <c r="D10" s="35" t="s">
        <v>54</v>
      </c>
      <c r="E10" s="35" t="str">
        <f t="shared" si="0"/>
        <v>Coordination of benefitsGeneral</v>
      </c>
      <c r="F10" s="9" t="s">
        <v>558</v>
      </c>
      <c r="G10" s="58" t="s">
        <v>522</v>
      </c>
      <c r="H10" s="9" t="s">
        <v>89</v>
      </c>
      <c r="I10" s="9" t="s">
        <v>267</v>
      </c>
      <c r="J10" s="43" t="s">
        <v>101</v>
      </c>
      <c r="K10" s="43" t="s">
        <v>260</v>
      </c>
      <c r="L10" s="9" t="s">
        <v>296</v>
      </c>
    </row>
    <row r="11" spans="1:12" ht="112.2">
      <c r="B11" s="9" t="s">
        <v>13</v>
      </c>
      <c r="C11" s="9" t="s">
        <v>137</v>
      </c>
      <c r="D11" s="35" t="s">
        <v>54</v>
      </c>
      <c r="E11" s="35" t="str">
        <f t="shared" si="0"/>
        <v>Claims AssessmentGeneral</v>
      </c>
      <c r="F11" s="9" t="s">
        <v>559</v>
      </c>
      <c r="G11" s="58" t="s">
        <v>415</v>
      </c>
      <c r="H11" s="9" t="s">
        <v>91</v>
      </c>
      <c r="I11" s="9" t="s">
        <v>255</v>
      </c>
      <c r="J11" s="43" t="s">
        <v>101</v>
      </c>
      <c r="K11" s="38" t="s">
        <v>263</v>
      </c>
      <c r="L11" s="9" t="s">
        <v>296</v>
      </c>
    </row>
    <row r="12" spans="1:12" ht="178.5" customHeight="1">
      <c r="B12" s="9" t="s">
        <v>13</v>
      </c>
      <c r="C12" s="9" t="s">
        <v>137</v>
      </c>
      <c r="D12" s="35" t="s">
        <v>54</v>
      </c>
      <c r="E12" s="35" t="str">
        <f t="shared" si="0"/>
        <v>Claims AssessmentGeneral</v>
      </c>
      <c r="F12" s="9" t="s">
        <v>560</v>
      </c>
      <c r="G12" s="58" t="s">
        <v>314</v>
      </c>
      <c r="H12" s="9" t="s">
        <v>126</v>
      </c>
      <c r="I12" s="9" t="s">
        <v>212</v>
      </c>
      <c r="J12" s="43" t="s">
        <v>101</v>
      </c>
      <c r="K12" s="38" t="s">
        <v>260</v>
      </c>
      <c r="L12" s="9" t="s">
        <v>296</v>
      </c>
    </row>
    <row r="13" spans="1:12" s="34" customFormat="1" ht="375.75" customHeight="1">
      <c r="B13" s="9" t="s">
        <v>13</v>
      </c>
      <c r="C13" s="9" t="s">
        <v>137</v>
      </c>
      <c r="D13" s="35" t="s">
        <v>54</v>
      </c>
      <c r="E13" s="35" t="str">
        <f t="shared" si="0"/>
        <v>Claims AssessmentGeneral</v>
      </c>
      <c r="F13" s="96" t="s">
        <v>561</v>
      </c>
      <c r="G13" s="59" t="s">
        <v>549</v>
      </c>
      <c r="H13" s="9" t="s">
        <v>126</v>
      </c>
      <c r="I13" s="9" t="s">
        <v>267</v>
      </c>
      <c r="J13" s="43" t="s">
        <v>101</v>
      </c>
      <c r="K13" s="38" t="s">
        <v>809</v>
      </c>
      <c r="L13" s="9"/>
    </row>
    <row r="14" spans="1:12" ht="163.19999999999999">
      <c r="B14" s="9" t="s">
        <v>13</v>
      </c>
      <c r="C14" s="9" t="s">
        <v>137</v>
      </c>
      <c r="D14" s="35" t="s">
        <v>54</v>
      </c>
      <c r="E14" s="35" t="str">
        <f t="shared" si="0"/>
        <v>Claims AssessmentGeneral</v>
      </c>
      <c r="F14" s="9" t="s">
        <v>562</v>
      </c>
      <c r="G14" s="58" t="s">
        <v>504</v>
      </c>
      <c r="H14" s="9" t="s">
        <v>126</v>
      </c>
      <c r="I14" s="9" t="s">
        <v>212</v>
      </c>
      <c r="J14" s="43" t="s">
        <v>101</v>
      </c>
      <c r="K14" s="38" t="s">
        <v>260</v>
      </c>
      <c r="L14" s="9" t="s">
        <v>313</v>
      </c>
    </row>
    <row r="15" spans="1:12" s="34" customFormat="1" ht="224.4">
      <c r="B15" s="9" t="s">
        <v>13</v>
      </c>
      <c r="C15" s="9" t="s">
        <v>137</v>
      </c>
      <c r="D15" s="35" t="s">
        <v>54</v>
      </c>
      <c r="E15" s="35" t="str">
        <f t="shared" si="0"/>
        <v>Claims AssessmentGeneral</v>
      </c>
      <c r="F15" s="9" t="s">
        <v>563</v>
      </c>
      <c r="G15" s="58" t="s">
        <v>518</v>
      </c>
      <c r="H15" s="9" t="s">
        <v>126</v>
      </c>
      <c r="I15" s="9" t="s">
        <v>212</v>
      </c>
      <c r="J15" s="43" t="s">
        <v>101</v>
      </c>
      <c r="K15" s="38" t="s">
        <v>260</v>
      </c>
      <c r="L15" s="9"/>
    </row>
    <row r="16" spans="1:12" ht="377.4">
      <c r="B16" s="9" t="s">
        <v>13</v>
      </c>
      <c r="C16" s="9" t="s">
        <v>137</v>
      </c>
      <c r="D16" s="35" t="s">
        <v>54</v>
      </c>
      <c r="E16" s="35" t="str">
        <f t="shared" si="0"/>
        <v>Claims AssessmentGeneral</v>
      </c>
      <c r="F16" s="96" t="s">
        <v>564</v>
      </c>
      <c r="G16" s="58" t="s">
        <v>633</v>
      </c>
      <c r="H16" s="9" t="s">
        <v>126</v>
      </c>
      <c r="I16" s="9" t="s">
        <v>212</v>
      </c>
      <c r="J16" s="43" t="s">
        <v>101</v>
      </c>
      <c r="K16" s="38" t="s">
        <v>260</v>
      </c>
      <c r="L16" s="9" t="s">
        <v>296</v>
      </c>
    </row>
    <row r="17" spans="1:12" ht="193.8">
      <c r="B17" s="9" t="s">
        <v>13</v>
      </c>
      <c r="C17" s="9" t="s">
        <v>137</v>
      </c>
      <c r="D17" s="35" t="s">
        <v>54</v>
      </c>
      <c r="E17" s="35" t="str">
        <f t="shared" si="0"/>
        <v>Claims AssessmentGeneral</v>
      </c>
      <c r="F17" s="96" t="s">
        <v>565</v>
      </c>
      <c r="G17" s="59" t="s">
        <v>416</v>
      </c>
      <c r="H17" s="9" t="s">
        <v>126</v>
      </c>
      <c r="I17" s="9" t="s">
        <v>212</v>
      </c>
      <c r="J17" s="43" t="s">
        <v>101</v>
      </c>
      <c r="K17" s="38" t="s">
        <v>260</v>
      </c>
      <c r="L17" s="9" t="s">
        <v>296</v>
      </c>
    </row>
    <row r="18" spans="1:12" ht="134.25" customHeight="1">
      <c r="B18" s="9" t="s">
        <v>13</v>
      </c>
      <c r="C18" s="9" t="s">
        <v>137</v>
      </c>
      <c r="D18" s="35" t="s">
        <v>54</v>
      </c>
      <c r="E18" s="35" t="str">
        <f t="shared" si="0"/>
        <v>Claims AssessmentGeneral</v>
      </c>
      <c r="F18" s="9" t="s">
        <v>566</v>
      </c>
      <c r="G18" s="58" t="s">
        <v>432</v>
      </c>
      <c r="H18" s="9" t="s">
        <v>126</v>
      </c>
      <c r="I18" s="9" t="s">
        <v>267</v>
      </c>
      <c r="J18" s="43" t="s">
        <v>101</v>
      </c>
      <c r="K18" s="38" t="s">
        <v>15</v>
      </c>
      <c r="L18" s="9"/>
    </row>
    <row r="19" spans="1:12" ht="153">
      <c r="B19" s="35" t="s">
        <v>13</v>
      </c>
      <c r="C19" s="35" t="s">
        <v>109</v>
      </c>
      <c r="D19" s="35" t="s">
        <v>54</v>
      </c>
      <c r="E19" s="35" t="str">
        <f t="shared" si="0"/>
        <v>Reserves ManagementGeneral</v>
      </c>
      <c r="F19" s="96" t="s">
        <v>567</v>
      </c>
      <c r="G19" s="66" t="s">
        <v>503</v>
      </c>
      <c r="H19" s="9" t="s">
        <v>89</v>
      </c>
      <c r="I19" s="9" t="s">
        <v>213</v>
      </c>
      <c r="J19" s="43" t="s">
        <v>17</v>
      </c>
      <c r="K19" s="43" t="s">
        <v>260</v>
      </c>
      <c r="L19" s="9" t="s">
        <v>296</v>
      </c>
    </row>
    <row r="20" spans="1:12" ht="94.5" customHeight="1">
      <c r="B20" s="9" t="s">
        <v>13</v>
      </c>
      <c r="C20" s="35" t="s">
        <v>109</v>
      </c>
      <c r="D20" s="35" t="s">
        <v>54</v>
      </c>
      <c r="E20" s="35" t="str">
        <f t="shared" si="0"/>
        <v>Reserves ManagementGeneral</v>
      </c>
      <c r="F20" s="9" t="s">
        <v>568</v>
      </c>
      <c r="G20" s="65" t="s">
        <v>445</v>
      </c>
      <c r="H20" s="9" t="s">
        <v>126</v>
      </c>
      <c r="I20" s="9" t="s">
        <v>213</v>
      </c>
      <c r="J20" s="43" t="s">
        <v>17</v>
      </c>
      <c r="K20" s="43" t="s">
        <v>258</v>
      </c>
      <c r="L20" s="9" t="s">
        <v>296</v>
      </c>
    </row>
    <row r="21" spans="1:12" ht="326.39999999999998">
      <c r="B21" s="35" t="s">
        <v>13</v>
      </c>
      <c r="C21" s="9" t="s">
        <v>136</v>
      </c>
      <c r="D21" s="35" t="s">
        <v>54</v>
      </c>
      <c r="E21" s="35" t="str">
        <f t="shared" si="0"/>
        <v>CorrespondenceGeneral</v>
      </c>
      <c r="F21" s="102" t="s">
        <v>569</v>
      </c>
      <c r="G21" s="58" t="s">
        <v>537</v>
      </c>
      <c r="H21" s="9" t="s">
        <v>127</v>
      </c>
      <c r="I21" s="9" t="s">
        <v>216</v>
      </c>
      <c r="J21" s="43" t="s">
        <v>101</v>
      </c>
      <c r="K21" s="38" t="s">
        <v>269</v>
      </c>
      <c r="L21" s="9" t="s">
        <v>417</v>
      </c>
    </row>
    <row r="22" spans="1:12" ht="256.5" customHeight="1">
      <c r="B22" s="9" t="s">
        <v>13</v>
      </c>
      <c r="C22" s="9" t="s">
        <v>137</v>
      </c>
      <c r="D22" s="35" t="s">
        <v>54</v>
      </c>
      <c r="E22" s="35" t="str">
        <f t="shared" si="0"/>
        <v>Claims AssessmentGeneral</v>
      </c>
      <c r="F22" s="9" t="s">
        <v>570</v>
      </c>
      <c r="G22" s="58" t="s">
        <v>601</v>
      </c>
      <c r="H22" s="9" t="s">
        <v>127</v>
      </c>
      <c r="I22" s="9" t="s">
        <v>212</v>
      </c>
      <c r="J22" s="43" t="s">
        <v>101</v>
      </c>
      <c r="K22" s="38" t="s">
        <v>810</v>
      </c>
      <c r="L22" s="9" t="s">
        <v>296</v>
      </c>
    </row>
    <row r="23" spans="1:12" ht="207.75" customHeight="1">
      <c r="B23" s="9" t="s">
        <v>13</v>
      </c>
      <c r="C23" s="9" t="s">
        <v>137</v>
      </c>
      <c r="D23" s="35" t="s">
        <v>54</v>
      </c>
      <c r="E23" s="35" t="str">
        <f t="shared" si="0"/>
        <v>Claims AssessmentGeneral</v>
      </c>
      <c r="F23" s="9" t="s">
        <v>571</v>
      </c>
      <c r="G23" s="58" t="s">
        <v>521</v>
      </c>
      <c r="H23" s="9" t="s">
        <v>127</v>
      </c>
      <c r="I23" s="9" t="s">
        <v>212</v>
      </c>
      <c r="J23" s="43" t="s">
        <v>101</v>
      </c>
      <c r="K23" s="38" t="s">
        <v>810</v>
      </c>
      <c r="L23" s="9"/>
    </row>
    <row r="24" spans="1:12" ht="373.5" customHeight="1">
      <c r="B24" s="35" t="s">
        <v>13</v>
      </c>
      <c r="C24" s="9" t="s">
        <v>137</v>
      </c>
      <c r="D24" s="35" t="s">
        <v>54</v>
      </c>
      <c r="E24" s="35" t="str">
        <f t="shared" si="0"/>
        <v>Claims AssessmentGeneral</v>
      </c>
      <c r="F24" s="9" t="s">
        <v>572</v>
      </c>
      <c r="G24" s="58" t="s">
        <v>418</v>
      </c>
      <c r="H24" s="9" t="s">
        <v>126</v>
      </c>
      <c r="I24" s="9" t="s">
        <v>273</v>
      </c>
      <c r="J24" s="43" t="s">
        <v>101</v>
      </c>
      <c r="K24" s="38" t="s">
        <v>811</v>
      </c>
      <c r="L24" s="9" t="s">
        <v>296</v>
      </c>
    </row>
    <row r="25" spans="1:12" ht="197.25" customHeight="1">
      <c r="B25" s="9" t="s">
        <v>13</v>
      </c>
      <c r="C25" s="9" t="s">
        <v>137</v>
      </c>
      <c r="D25" s="35" t="s">
        <v>54</v>
      </c>
      <c r="E25" s="35" t="str">
        <f t="shared" si="0"/>
        <v>Claims AssessmentGeneral</v>
      </c>
      <c r="F25" s="9" t="s">
        <v>573</v>
      </c>
      <c r="G25" s="58" t="s">
        <v>419</v>
      </c>
      <c r="H25" s="9" t="s">
        <v>126</v>
      </c>
      <c r="I25" s="9" t="s">
        <v>212</v>
      </c>
      <c r="J25" s="43" t="s">
        <v>101</v>
      </c>
      <c r="K25" s="38" t="s">
        <v>811</v>
      </c>
      <c r="L25" s="9" t="s">
        <v>296</v>
      </c>
    </row>
    <row r="26" spans="1:12" ht="58.5" customHeight="1">
      <c r="B26" s="9" t="s">
        <v>13</v>
      </c>
      <c r="C26" s="9" t="s">
        <v>137</v>
      </c>
      <c r="D26" s="35" t="s">
        <v>54</v>
      </c>
      <c r="E26" s="35" t="str">
        <f t="shared" si="0"/>
        <v>Claims AssessmentGeneral</v>
      </c>
      <c r="F26" s="9" t="s">
        <v>574</v>
      </c>
      <c r="G26" s="58" t="s">
        <v>420</v>
      </c>
      <c r="H26" s="9" t="s">
        <v>126</v>
      </c>
      <c r="I26" s="9" t="s">
        <v>273</v>
      </c>
      <c r="J26" s="43" t="s">
        <v>101</v>
      </c>
      <c r="K26" s="38" t="s">
        <v>811</v>
      </c>
      <c r="L26" s="9" t="s">
        <v>296</v>
      </c>
    </row>
    <row r="27" spans="1:12" ht="132.6" customHeight="1">
      <c r="B27" s="9" t="s">
        <v>13</v>
      </c>
      <c r="C27" s="9" t="s">
        <v>138</v>
      </c>
      <c r="D27" s="35" t="s">
        <v>54</v>
      </c>
      <c r="E27" s="35" t="str">
        <f t="shared" si="0"/>
        <v>Claims document managementGeneral</v>
      </c>
      <c r="F27" s="9" t="s">
        <v>575</v>
      </c>
      <c r="G27" s="101" t="s">
        <v>431</v>
      </c>
      <c r="H27" s="9" t="s">
        <v>91</v>
      </c>
      <c r="I27" s="9" t="s">
        <v>255</v>
      </c>
      <c r="J27" s="43" t="s">
        <v>101</v>
      </c>
      <c r="K27" s="38" t="s">
        <v>812</v>
      </c>
      <c r="L27" s="9"/>
    </row>
    <row r="28" spans="1:12" ht="179.25" customHeight="1">
      <c r="B28" s="9" t="s">
        <v>13</v>
      </c>
      <c r="C28" s="9" t="s">
        <v>137</v>
      </c>
      <c r="D28" s="35" t="s">
        <v>54</v>
      </c>
      <c r="E28" s="35" t="str">
        <f t="shared" si="0"/>
        <v>Claims AssessmentGeneral</v>
      </c>
      <c r="F28" s="9" t="s">
        <v>576</v>
      </c>
      <c r="G28" s="64" t="s">
        <v>540</v>
      </c>
      <c r="H28" s="9" t="s">
        <v>126</v>
      </c>
      <c r="I28" s="9" t="s">
        <v>212</v>
      </c>
      <c r="J28" s="43" t="s">
        <v>101</v>
      </c>
      <c r="K28" s="38" t="s">
        <v>260</v>
      </c>
      <c r="L28" s="9" t="s">
        <v>296</v>
      </c>
    </row>
    <row r="29" spans="1:12" s="1" customFormat="1" ht="183.6">
      <c r="A29" s="5"/>
      <c r="B29" s="9" t="s">
        <v>13</v>
      </c>
      <c r="C29" s="9" t="s">
        <v>135</v>
      </c>
      <c r="D29" s="35" t="s">
        <v>54</v>
      </c>
      <c r="E29" s="35" t="str">
        <f t="shared" si="0"/>
        <v>Display claims dataGeneral</v>
      </c>
      <c r="F29" s="9" t="s">
        <v>577</v>
      </c>
      <c r="G29" s="58" t="s">
        <v>644</v>
      </c>
      <c r="H29" s="9" t="s">
        <v>126</v>
      </c>
      <c r="I29" s="9" t="s">
        <v>212</v>
      </c>
      <c r="J29" s="43" t="s">
        <v>101</v>
      </c>
      <c r="K29" s="43" t="s">
        <v>260</v>
      </c>
      <c r="L29" s="9" t="s">
        <v>296</v>
      </c>
    </row>
    <row r="30" spans="1:12" s="1" customFormat="1" ht="228" customHeight="1">
      <c r="A30" s="5"/>
      <c r="B30" s="9" t="s">
        <v>13</v>
      </c>
      <c r="C30" s="9" t="s">
        <v>137</v>
      </c>
      <c r="D30" s="35" t="s">
        <v>54</v>
      </c>
      <c r="E30" s="35" t="str">
        <f t="shared" si="0"/>
        <v>Claims AssessmentGeneral</v>
      </c>
      <c r="F30" s="9" t="s">
        <v>578</v>
      </c>
      <c r="G30" s="58" t="s">
        <v>421</v>
      </c>
      <c r="H30" s="9" t="s">
        <v>126</v>
      </c>
      <c r="I30" s="9" t="s">
        <v>212</v>
      </c>
      <c r="J30" s="43" t="s">
        <v>101</v>
      </c>
      <c r="K30" s="38" t="s">
        <v>260</v>
      </c>
      <c r="L30" s="9" t="s">
        <v>296</v>
      </c>
    </row>
    <row r="31" spans="1:12" s="1" customFormat="1" ht="216.75" customHeight="1">
      <c r="A31" s="5"/>
      <c r="B31" s="9" t="s">
        <v>13</v>
      </c>
      <c r="C31" s="9" t="s">
        <v>299</v>
      </c>
      <c r="D31" s="35" t="s">
        <v>54</v>
      </c>
      <c r="E31" s="35" t="str">
        <f t="shared" si="0"/>
        <v>Claims LitigationGeneral</v>
      </c>
      <c r="F31" s="9" t="s">
        <v>579</v>
      </c>
      <c r="G31" s="58" t="s">
        <v>422</v>
      </c>
      <c r="H31" s="9" t="s">
        <v>256</v>
      </c>
      <c r="I31" s="9" t="s">
        <v>273</v>
      </c>
      <c r="J31" s="43" t="s">
        <v>101</v>
      </c>
      <c r="K31" s="38" t="s">
        <v>15</v>
      </c>
      <c r="L31" s="9" t="s">
        <v>296</v>
      </c>
    </row>
    <row r="32" spans="1:12" s="1" customFormat="1" ht="198" customHeight="1">
      <c r="A32" s="5"/>
      <c r="B32" s="9" t="s">
        <v>13</v>
      </c>
      <c r="C32" s="9" t="s">
        <v>135</v>
      </c>
      <c r="D32" s="35" t="s">
        <v>54</v>
      </c>
      <c r="E32" s="35" t="str">
        <f t="shared" si="0"/>
        <v>Display claims dataGeneral</v>
      </c>
      <c r="F32" s="9" t="s">
        <v>580</v>
      </c>
      <c r="G32" s="58" t="s">
        <v>446</v>
      </c>
      <c r="H32" s="9" t="s">
        <v>126</v>
      </c>
      <c r="I32" s="9" t="s">
        <v>255</v>
      </c>
      <c r="J32" s="43" t="s">
        <v>101</v>
      </c>
      <c r="K32" s="38" t="s">
        <v>260</v>
      </c>
      <c r="L32" s="9"/>
    </row>
    <row r="33" spans="1:12" ht="173.25" customHeight="1">
      <c r="B33" s="9" t="s">
        <v>13</v>
      </c>
      <c r="C33" s="9" t="s">
        <v>134</v>
      </c>
      <c r="D33" s="35" t="s">
        <v>54</v>
      </c>
      <c r="E33" s="35" t="str">
        <f t="shared" si="0"/>
        <v>Capture claims dataGeneral</v>
      </c>
      <c r="F33" s="9" t="s">
        <v>581</v>
      </c>
      <c r="G33" s="58" t="s">
        <v>519</v>
      </c>
      <c r="H33" s="9" t="s">
        <v>126</v>
      </c>
      <c r="I33" s="9" t="s">
        <v>267</v>
      </c>
      <c r="J33" s="43" t="s">
        <v>101</v>
      </c>
      <c r="K33" s="38" t="s">
        <v>813</v>
      </c>
      <c r="L33" s="9" t="s">
        <v>296</v>
      </c>
    </row>
    <row r="34" spans="1:12" ht="224.25" customHeight="1">
      <c r="B34" s="9" t="s">
        <v>13</v>
      </c>
      <c r="C34" s="9" t="s">
        <v>137</v>
      </c>
      <c r="D34" s="35" t="s">
        <v>54</v>
      </c>
      <c r="E34" s="35" t="str">
        <f t="shared" si="0"/>
        <v>Claims AssessmentGeneral</v>
      </c>
      <c r="F34" s="103" t="s">
        <v>582</v>
      </c>
      <c r="G34" s="58" t="s">
        <v>423</v>
      </c>
      <c r="H34" s="9" t="s">
        <v>126</v>
      </c>
      <c r="I34" s="9" t="s">
        <v>212</v>
      </c>
      <c r="J34" s="43" t="s">
        <v>101</v>
      </c>
      <c r="K34" s="38" t="s">
        <v>260</v>
      </c>
      <c r="L34" s="9"/>
    </row>
    <row r="35" spans="1:12" ht="244.8">
      <c r="B35" s="35" t="s">
        <v>13</v>
      </c>
      <c r="C35" s="9" t="s">
        <v>139</v>
      </c>
      <c r="D35" s="35" t="s">
        <v>54</v>
      </c>
      <c r="E35" s="35" t="str">
        <f t="shared" si="0"/>
        <v>Claims DecisionGeneral</v>
      </c>
      <c r="F35" s="9" t="s">
        <v>583</v>
      </c>
      <c r="G35" s="58" t="s">
        <v>424</v>
      </c>
      <c r="H35" s="9" t="s">
        <v>91</v>
      </c>
      <c r="I35" s="9" t="s">
        <v>255</v>
      </c>
      <c r="J35" s="43" t="s">
        <v>101</v>
      </c>
      <c r="K35" s="38" t="s">
        <v>275</v>
      </c>
      <c r="L35" s="9" t="s">
        <v>296</v>
      </c>
    </row>
    <row r="36" spans="1:12" s="1" customFormat="1" ht="200.25" customHeight="1">
      <c r="A36" s="5"/>
      <c r="B36" s="9" t="s">
        <v>13</v>
      </c>
      <c r="C36" s="9" t="s">
        <v>137</v>
      </c>
      <c r="D36" s="35" t="s">
        <v>54</v>
      </c>
      <c r="E36" s="35" t="str">
        <f t="shared" ref="E36:E46" si="1">CONCATENATE(C36,D36)</f>
        <v>Claims AssessmentGeneral</v>
      </c>
      <c r="F36" s="9" t="s">
        <v>584</v>
      </c>
      <c r="G36" s="58" t="s">
        <v>425</v>
      </c>
      <c r="H36" s="9" t="s">
        <v>126</v>
      </c>
      <c r="I36" s="9" t="s">
        <v>273</v>
      </c>
      <c r="J36" s="43" t="s">
        <v>101</v>
      </c>
      <c r="K36" s="9" t="s">
        <v>260</v>
      </c>
      <c r="L36" s="9"/>
    </row>
    <row r="37" spans="1:12" s="1" customFormat="1" ht="209.4" customHeight="1">
      <c r="A37" s="5"/>
      <c r="B37" s="9" t="s">
        <v>13</v>
      </c>
      <c r="C37" s="9" t="s">
        <v>137</v>
      </c>
      <c r="D37" s="35" t="s">
        <v>54</v>
      </c>
      <c r="E37" s="35" t="str">
        <f t="shared" si="1"/>
        <v>Claims AssessmentGeneral</v>
      </c>
      <c r="F37" s="9" t="s">
        <v>585</v>
      </c>
      <c r="G37" s="58" t="s">
        <v>426</v>
      </c>
      <c r="H37" s="9" t="s">
        <v>92</v>
      </c>
      <c r="I37" s="9" t="s">
        <v>273</v>
      </c>
      <c r="J37" s="43" t="s">
        <v>101</v>
      </c>
      <c r="K37" s="9" t="s">
        <v>258</v>
      </c>
      <c r="L37" s="9"/>
    </row>
    <row r="38" spans="1:12" s="1" customFormat="1" ht="336.6">
      <c r="A38" s="5"/>
      <c r="B38" s="9" t="s">
        <v>13</v>
      </c>
      <c r="C38" s="9" t="s">
        <v>137</v>
      </c>
      <c r="D38" s="35" t="s">
        <v>54</v>
      </c>
      <c r="E38" s="35" t="str">
        <f t="shared" si="1"/>
        <v>Claims AssessmentGeneral</v>
      </c>
      <c r="F38" s="9" t="s">
        <v>586</v>
      </c>
      <c r="G38" s="58" t="s">
        <v>498</v>
      </c>
      <c r="H38" s="9" t="s">
        <v>126</v>
      </c>
      <c r="I38" s="9" t="s">
        <v>255</v>
      </c>
      <c r="J38" s="43" t="s">
        <v>101</v>
      </c>
      <c r="K38" s="43" t="s">
        <v>260</v>
      </c>
      <c r="L38" s="9"/>
    </row>
    <row r="39" spans="1:12" s="1" customFormat="1" ht="138" customHeight="1">
      <c r="A39" s="5"/>
      <c r="B39" s="9" t="s">
        <v>13</v>
      </c>
      <c r="C39" s="9" t="s">
        <v>388</v>
      </c>
      <c r="D39" s="35" t="s">
        <v>54</v>
      </c>
      <c r="E39" s="35" t="str">
        <f t="shared" si="1"/>
        <v>ASO HandlingGeneral</v>
      </c>
      <c r="F39" s="9" t="s">
        <v>587</v>
      </c>
      <c r="G39" s="58" t="s">
        <v>500</v>
      </c>
      <c r="H39" s="9" t="s">
        <v>126</v>
      </c>
      <c r="I39" s="9" t="s">
        <v>406</v>
      </c>
      <c r="J39" s="9" t="s">
        <v>280</v>
      </c>
      <c r="K39" s="9" t="s">
        <v>260</v>
      </c>
      <c r="L39" s="9"/>
    </row>
    <row r="40" spans="1:12" ht="139.5" customHeight="1">
      <c r="B40" s="9" t="s">
        <v>13</v>
      </c>
      <c r="C40" s="9" t="s">
        <v>388</v>
      </c>
      <c r="D40" s="35" t="s">
        <v>54</v>
      </c>
      <c r="E40" s="35" t="str">
        <f t="shared" si="1"/>
        <v>ASO HandlingGeneral</v>
      </c>
      <c r="F40" s="9" t="s">
        <v>588</v>
      </c>
      <c r="G40" s="58" t="s">
        <v>407</v>
      </c>
      <c r="H40" s="9" t="s">
        <v>89</v>
      </c>
      <c r="I40" s="9" t="s">
        <v>255</v>
      </c>
      <c r="J40" s="9" t="s">
        <v>17</v>
      </c>
      <c r="K40" s="9" t="s">
        <v>260</v>
      </c>
      <c r="L40" s="9"/>
    </row>
    <row r="41" spans="1:12" ht="71.400000000000006">
      <c r="B41" s="9" t="s">
        <v>13</v>
      </c>
      <c r="C41" s="9" t="s">
        <v>388</v>
      </c>
      <c r="D41" s="35" t="s">
        <v>54</v>
      </c>
      <c r="E41" s="35" t="str">
        <f t="shared" si="1"/>
        <v>ASO HandlingGeneral</v>
      </c>
      <c r="F41" s="9" t="s">
        <v>589</v>
      </c>
      <c r="G41" s="58" t="s">
        <v>408</v>
      </c>
      <c r="H41" s="9" t="s">
        <v>89</v>
      </c>
      <c r="I41" s="9" t="s">
        <v>255</v>
      </c>
      <c r="J41" s="9" t="s">
        <v>17</v>
      </c>
      <c r="K41" s="9" t="s">
        <v>260</v>
      </c>
      <c r="L41" s="9"/>
    </row>
    <row r="42" spans="1:12" ht="201" customHeight="1">
      <c r="B42" s="9" t="s">
        <v>13</v>
      </c>
      <c r="C42" s="9" t="s">
        <v>388</v>
      </c>
      <c r="D42" s="35" t="s">
        <v>54</v>
      </c>
      <c r="E42" s="35" t="str">
        <f t="shared" si="1"/>
        <v>ASO HandlingGeneral</v>
      </c>
      <c r="F42" s="96" t="s">
        <v>590</v>
      </c>
      <c r="G42" s="58" t="s">
        <v>409</v>
      </c>
      <c r="H42" s="9" t="s">
        <v>89</v>
      </c>
      <c r="I42" s="9" t="s">
        <v>255</v>
      </c>
      <c r="J42" s="9" t="s">
        <v>17</v>
      </c>
      <c r="K42" s="9" t="s">
        <v>260</v>
      </c>
      <c r="L42" s="9"/>
    </row>
    <row r="43" spans="1:12" s="1" customFormat="1" ht="202.5" customHeight="1">
      <c r="A43" s="5"/>
      <c r="B43" s="9" t="s">
        <v>13</v>
      </c>
      <c r="C43" s="9" t="s">
        <v>427</v>
      </c>
      <c r="D43" s="35" t="s">
        <v>54</v>
      </c>
      <c r="E43" s="35" t="str">
        <f t="shared" si="1"/>
        <v>Credit ControlGeneral</v>
      </c>
      <c r="F43" s="9" t="s">
        <v>591</v>
      </c>
      <c r="G43" s="64" t="s">
        <v>428</v>
      </c>
      <c r="H43" s="9"/>
      <c r="I43" s="9"/>
      <c r="J43" s="9"/>
      <c r="K43" s="9" t="s">
        <v>260</v>
      </c>
      <c r="L43" s="9"/>
    </row>
    <row r="44" spans="1:12" s="1" customFormat="1" ht="184.2" customHeight="1">
      <c r="A44" s="5"/>
      <c r="B44" s="9" t="s">
        <v>13</v>
      </c>
      <c r="C44" s="9" t="s">
        <v>499</v>
      </c>
      <c r="D44" s="35" t="s">
        <v>54</v>
      </c>
      <c r="E44" s="35" t="str">
        <f t="shared" si="1"/>
        <v>MedisaveGeneral</v>
      </c>
      <c r="F44" s="9" t="s">
        <v>592</v>
      </c>
      <c r="G44" s="58" t="s">
        <v>600</v>
      </c>
      <c r="H44" s="9" t="s">
        <v>89</v>
      </c>
      <c r="I44" s="9" t="s">
        <v>255</v>
      </c>
      <c r="J44" s="9" t="s">
        <v>17</v>
      </c>
      <c r="K44" s="9" t="s">
        <v>260</v>
      </c>
      <c r="L44" s="9"/>
    </row>
    <row r="45" spans="1:12" ht="228" customHeight="1">
      <c r="B45" s="9" t="s">
        <v>13</v>
      </c>
      <c r="C45" s="9" t="s">
        <v>499</v>
      </c>
      <c r="D45" s="35" t="s">
        <v>54</v>
      </c>
      <c r="E45" s="35" t="str">
        <f t="shared" si="1"/>
        <v>MedisaveGeneral</v>
      </c>
      <c r="F45" s="9" t="s">
        <v>593</v>
      </c>
      <c r="G45" s="58" t="s">
        <v>501</v>
      </c>
      <c r="H45" s="9" t="s">
        <v>89</v>
      </c>
      <c r="I45" s="9" t="s">
        <v>255</v>
      </c>
      <c r="J45" s="9" t="s">
        <v>17</v>
      </c>
      <c r="K45" s="9" t="s">
        <v>260</v>
      </c>
      <c r="L45" s="9"/>
    </row>
    <row r="46" spans="1:12" s="34" customFormat="1" ht="255">
      <c r="B46" s="9" t="s">
        <v>13</v>
      </c>
      <c r="C46" s="9" t="s">
        <v>137</v>
      </c>
      <c r="D46" s="35" t="s">
        <v>54</v>
      </c>
      <c r="E46" s="35" t="str">
        <f t="shared" si="1"/>
        <v>Claims AssessmentGeneral</v>
      </c>
      <c r="F46" s="9" t="s">
        <v>614</v>
      </c>
      <c r="G46" s="58" t="s">
        <v>615</v>
      </c>
      <c r="H46" s="9" t="s">
        <v>126</v>
      </c>
      <c r="I46" s="9" t="s">
        <v>212</v>
      </c>
      <c r="J46" s="43" t="s">
        <v>101</v>
      </c>
      <c r="K46" s="38" t="s">
        <v>260</v>
      </c>
      <c r="L46" s="9"/>
    </row>
    <row r="47" spans="1:12" ht="99" customHeight="1"/>
  </sheetData>
  <sortState ref="B4:L35">
    <sortCondition ref="F4:F35"/>
  </sortState>
  <dataConsolidate/>
  <mergeCells count="10">
    <mergeCell ref="L2:L3"/>
    <mergeCell ref="G2:G3"/>
    <mergeCell ref="A1:A3"/>
    <mergeCell ref="B2:B3"/>
    <mergeCell ref="C2:C3"/>
    <mergeCell ref="D2:D3"/>
    <mergeCell ref="F2:F3"/>
    <mergeCell ref="J2:J3"/>
    <mergeCell ref="H2:H3"/>
    <mergeCell ref="I2:I3"/>
  </mergeCells>
  <hyperlinks>
    <hyperlink ref="A1:A3" location="'A. Claims Story Map'!A1" display="Back"/>
  </hyperlinks>
  <printOptions horizontalCentered="1" gridLines="1"/>
  <pageMargins left="0.23622047244094491" right="0.23622047244094491" top="0.51181102362204722" bottom="0.51181102362204722" header="0.31496062992125984" footer="0.31496062992125984"/>
  <pageSetup paperSize="5" scale="77" fitToHeight="0" orientation="landscape" horizontalDpi="300" verticalDpi="300" r:id="rId1"/>
  <headerFooter>
    <oddHeader>&amp;F</oddHeader>
    <oddFooter>&amp;A&amp;RPage &amp;P</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F0"/>
    <outlinePr summaryRight="0"/>
    <pageSetUpPr fitToPage="1"/>
  </sheetPr>
  <dimension ref="A1:L25"/>
  <sheetViews>
    <sheetView showGridLines="0" zoomScale="80" zoomScaleNormal="80" workbookViewId="0">
      <selection activeCell="B2" sqref="B2:B3"/>
    </sheetView>
  </sheetViews>
  <sheetFormatPr defaultColWidth="9.109375" defaultRowHeight="14.4"/>
  <cols>
    <col min="1" max="1" width="3.109375" style="5" bestFit="1" customWidth="1"/>
    <col min="2" max="2" width="11.44140625" style="5" customWidth="1"/>
    <col min="3" max="3" width="13.88671875" style="5" customWidth="1"/>
    <col min="4" max="4" width="9.88671875" style="5" customWidth="1"/>
    <col min="5" max="5" width="16" style="5" hidden="1" customWidth="1"/>
    <col min="6" max="6" width="14.5546875" style="5" customWidth="1"/>
    <col min="7" max="7" width="60.5546875" style="5" customWidth="1"/>
    <col min="8" max="9" width="14.5546875" style="1" customWidth="1"/>
    <col min="10" max="10" width="10.88671875" style="1" customWidth="1"/>
    <col min="11" max="11" width="17.33203125" style="1" customWidth="1"/>
    <col min="12" max="12" width="14.88671875" style="5" customWidth="1"/>
    <col min="13" max="16384" width="9.109375" style="5"/>
  </cols>
  <sheetData>
    <row r="1" spans="1:12" s="3" customFormat="1">
      <c r="A1" s="166" t="s">
        <v>53</v>
      </c>
      <c r="B1" s="2" t="s">
        <v>108</v>
      </c>
      <c r="C1" s="2"/>
      <c r="D1" s="2"/>
      <c r="E1" s="2"/>
      <c r="F1" s="2"/>
      <c r="G1" s="2"/>
      <c r="H1" s="41"/>
      <c r="I1" s="41"/>
      <c r="J1" s="41"/>
      <c r="K1" s="41"/>
      <c r="L1" s="106"/>
    </row>
    <row r="2" spans="1:12" ht="24" customHeight="1">
      <c r="A2" s="166"/>
      <c r="B2" s="159" t="s">
        <v>0</v>
      </c>
      <c r="C2" s="159" t="s">
        <v>1</v>
      </c>
      <c r="D2" s="159" t="s">
        <v>23</v>
      </c>
      <c r="E2" s="60"/>
      <c r="F2" s="159" t="s">
        <v>9</v>
      </c>
      <c r="G2" s="159" t="s">
        <v>10</v>
      </c>
      <c r="H2" s="159" t="s">
        <v>150</v>
      </c>
      <c r="I2" s="159" t="s">
        <v>351</v>
      </c>
      <c r="J2" s="159" t="s">
        <v>8</v>
      </c>
      <c r="K2" s="170" t="s">
        <v>131</v>
      </c>
      <c r="L2" s="107"/>
    </row>
    <row r="3" spans="1:12" ht="38.25" customHeight="1">
      <c r="A3" s="166"/>
      <c r="B3" s="160"/>
      <c r="C3" s="160"/>
      <c r="D3" s="160"/>
      <c r="E3" s="61"/>
      <c r="F3" s="160"/>
      <c r="G3" s="160"/>
      <c r="H3" s="160"/>
      <c r="I3" s="160"/>
      <c r="J3" s="160"/>
      <c r="K3" s="171"/>
      <c r="L3" s="107" t="s">
        <v>319</v>
      </c>
    </row>
    <row r="4" spans="1:12" ht="337.2" customHeight="1">
      <c r="A4" s="36"/>
      <c r="B4" s="35" t="s">
        <v>16</v>
      </c>
      <c r="C4" s="35" t="s">
        <v>140</v>
      </c>
      <c r="D4" s="35" t="s">
        <v>54</v>
      </c>
      <c r="E4" s="35" t="str">
        <f t="shared" ref="E4:E17" si="0">CONCATENATE(C4,D4)</f>
        <v>Claims PaymentGeneral</v>
      </c>
      <c r="F4" s="105" t="s">
        <v>151</v>
      </c>
      <c r="G4" s="65" t="s">
        <v>608</v>
      </c>
      <c r="H4" s="9" t="s">
        <v>91</v>
      </c>
      <c r="I4" s="9" t="s">
        <v>255</v>
      </c>
      <c r="J4" s="9" t="s">
        <v>280</v>
      </c>
      <c r="K4" s="9" t="s">
        <v>814</v>
      </c>
      <c r="L4" s="38" t="s">
        <v>296</v>
      </c>
    </row>
    <row r="5" spans="1:12" ht="135" customHeight="1">
      <c r="B5" s="35" t="s">
        <v>16</v>
      </c>
      <c r="C5" s="35" t="s">
        <v>140</v>
      </c>
      <c r="D5" s="35" t="s">
        <v>54</v>
      </c>
      <c r="E5" s="35" t="str">
        <f>CONCATENATE(C5,D5)</f>
        <v>Claims PaymentGeneral</v>
      </c>
      <c r="F5" s="9" t="s">
        <v>158</v>
      </c>
      <c r="G5" s="98" t="s">
        <v>448</v>
      </c>
      <c r="H5" s="9" t="s">
        <v>126</v>
      </c>
      <c r="I5" s="9" t="s">
        <v>212</v>
      </c>
      <c r="J5" s="9" t="s">
        <v>280</v>
      </c>
      <c r="K5" s="9" t="s">
        <v>815</v>
      </c>
      <c r="L5" s="38" t="s">
        <v>296</v>
      </c>
    </row>
    <row r="6" spans="1:12" ht="201.6" customHeight="1">
      <c r="A6" s="36"/>
      <c r="B6" s="35" t="s">
        <v>16</v>
      </c>
      <c r="C6" s="35" t="s">
        <v>140</v>
      </c>
      <c r="D6" s="35" t="s">
        <v>54</v>
      </c>
      <c r="E6" s="35" t="str">
        <f t="shared" si="0"/>
        <v>Claims PaymentGeneral</v>
      </c>
      <c r="F6" s="9" t="s">
        <v>152</v>
      </c>
      <c r="G6" s="65" t="s">
        <v>820</v>
      </c>
      <c r="H6" s="9" t="s">
        <v>91</v>
      </c>
      <c r="I6" s="9" t="s">
        <v>213</v>
      </c>
      <c r="J6" s="9" t="s">
        <v>280</v>
      </c>
      <c r="K6" s="9" t="s">
        <v>260</v>
      </c>
      <c r="L6" s="38" t="s">
        <v>296</v>
      </c>
    </row>
    <row r="7" spans="1:12" ht="180.6" customHeight="1">
      <c r="B7" s="35" t="s">
        <v>16</v>
      </c>
      <c r="C7" s="35" t="s">
        <v>140</v>
      </c>
      <c r="D7" s="35" t="s">
        <v>54</v>
      </c>
      <c r="E7" s="35" t="str">
        <f t="shared" si="0"/>
        <v>Claims PaymentGeneral</v>
      </c>
      <c r="F7" s="9" t="s">
        <v>154</v>
      </c>
      <c r="G7" s="98" t="s">
        <v>524</v>
      </c>
      <c r="H7" s="9" t="s">
        <v>91</v>
      </c>
      <c r="I7" s="9" t="s">
        <v>273</v>
      </c>
      <c r="J7" s="9" t="s">
        <v>280</v>
      </c>
      <c r="K7" s="9" t="s">
        <v>260</v>
      </c>
      <c r="L7" s="38" t="s">
        <v>296</v>
      </c>
    </row>
    <row r="8" spans="1:12" ht="290.25" customHeight="1">
      <c r="B8" s="35" t="s">
        <v>16</v>
      </c>
      <c r="C8" s="35" t="s">
        <v>140</v>
      </c>
      <c r="D8" s="35" t="s">
        <v>54</v>
      </c>
      <c r="E8" s="35" t="str">
        <f t="shared" si="0"/>
        <v>Claims PaymentGeneral</v>
      </c>
      <c r="F8" s="9" t="s">
        <v>155</v>
      </c>
      <c r="G8" s="65" t="s">
        <v>450</v>
      </c>
      <c r="H8" s="9" t="s">
        <v>126</v>
      </c>
      <c r="I8" s="9" t="s">
        <v>255</v>
      </c>
      <c r="J8" s="9" t="s">
        <v>280</v>
      </c>
      <c r="K8" s="9" t="s">
        <v>260</v>
      </c>
      <c r="L8" s="38" t="s">
        <v>296</v>
      </c>
    </row>
    <row r="9" spans="1:12" ht="384" customHeight="1">
      <c r="B9" s="35" t="s">
        <v>16</v>
      </c>
      <c r="C9" s="35" t="s">
        <v>140</v>
      </c>
      <c r="D9" s="35" t="s">
        <v>54</v>
      </c>
      <c r="E9" s="35" t="str">
        <f t="shared" si="0"/>
        <v>Claims PaymentGeneral</v>
      </c>
      <c r="F9" s="9" t="s">
        <v>156</v>
      </c>
      <c r="G9" s="98" t="s">
        <v>451</v>
      </c>
      <c r="H9" s="9" t="s">
        <v>126</v>
      </c>
      <c r="I9" s="9" t="s">
        <v>213</v>
      </c>
      <c r="J9" s="9" t="s">
        <v>280</v>
      </c>
      <c r="K9" s="9" t="s">
        <v>281</v>
      </c>
      <c r="L9" s="38" t="s">
        <v>296</v>
      </c>
    </row>
    <row r="10" spans="1:12" ht="51">
      <c r="B10" s="35" t="s">
        <v>16</v>
      </c>
      <c r="C10" s="9" t="s">
        <v>136</v>
      </c>
      <c r="D10" s="35" t="s">
        <v>54</v>
      </c>
      <c r="E10" s="35" t="str">
        <f t="shared" si="0"/>
        <v>CorrespondenceGeneral</v>
      </c>
      <c r="F10" s="9" t="s">
        <v>157</v>
      </c>
      <c r="G10" s="98" t="s">
        <v>452</v>
      </c>
      <c r="H10" s="9" t="s">
        <v>126</v>
      </c>
      <c r="I10" s="9" t="s">
        <v>255</v>
      </c>
      <c r="J10" s="9" t="s">
        <v>280</v>
      </c>
      <c r="K10" s="9" t="s">
        <v>281</v>
      </c>
      <c r="L10" s="38" t="s">
        <v>296</v>
      </c>
    </row>
    <row r="11" spans="1:12" ht="195" customHeight="1">
      <c r="B11" s="35" t="s">
        <v>16</v>
      </c>
      <c r="C11" s="35" t="s">
        <v>140</v>
      </c>
      <c r="D11" s="35" t="s">
        <v>54</v>
      </c>
      <c r="E11" s="35" t="str">
        <f t="shared" si="0"/>
        <v>Claims PaymentGeneral</v>
      </c>
      <c r="F11" s="9" t="s">
        <v>160</v>
      </c>
      <c r="G11" s="58" t="s">
        <v>453</v>
      </c>
      <c r="H11" s="9" t="s">
        <v>256</v>
      </c>
      <c r="I11" s="9" t="s">
        <v>255</v>
      </c>
      <c r="J11" s="9" t="s">
        <v>280</v>
      </c>
      <c r="K11" s="9" t="s">
        <v>816</v>
      </c>
      <c r="L11" s="38" t="s">
        <v>296</v>
      </c>
    </row>
    <row r="12" spans="1:12" ht="157.5" customHeight="1">
      <c r="B12" s="35" t="s">
        <v>16</v>
      </c>
      <c r="C12" s="35" t="s">
        <v>140</v>
      </c>
      <c r="D12" s="35" t="s">
        <v>54</v>
      </c>
      <c r="E12" s="35" t="str">
        <f t="shared" si="0"/>
        <v>Claims PaymentGeneral</v>
      </c>
      <c r="F12" s="9" t="s">
        <v>161</v>
      </c>
      <c r="G12" s="65" t="s">
        <v>454</v>
      </c>
      <c r="H12" s="9" t="s">
        <v>256</v>
      </c>
      <c r="I12" s="9" t="s">
        <v>255</v>
      </c>
      <c r="J12" s="9" t="s">
        <v>280</v>
      </c>
      <c r="K12" s="9" t="s">
        <v>817</v>
      </c>
      <c r="L12" s="38" t="s">
        <v>296</v>
      </c>
    </row>
    <row r="13" spans="1:12" ht="149.25" customHeight="1">
      <c r="B13" s="35" t="s">
        <v>16</v>
      </c>
      <c r="C13" s="9" t="s">
        <v>136</v>
      </c>
      <c r="D13" s="35" t="s">
        <v>54</v>
      </c>
      <c r="E13" s="35" t="str">
        <f t="shared" si="0"/>
        <v>CorrespondenceGeneral</v>
      </c>
      <c r="F13" s="9" t="s">
        <v>162</v>
      </c>
      <c r="G13" s="65" t="s">
        <v>604</v>
      </c>
      <c r="H13" s="9" t="s">
        <v>126</v>
      </c>
      <c r="I13" s="9" t="s">
        <v>273</v>
      </c>
      <c r="J13" s="9" t="s">
        <v>280</v>
      </c>
      <c r="K13" s="9" t="s">
        <v>818</v>
      </c>
      <c r="L13" s="38" t="s">
        <v>296</v>
      </c>
    </row>
    <row r="14" spans="1:12" ht="56.25" customHeight="1">
      <c r="B14" s="35" t="s">
        <v>16</v>
      </c>
      <c r="C14" s="9" t="s">
        <v>136</v>
      </c>
      <c r="D14" s="35" t="s">
        <v>54</v>
      </c>
      <c r="E14" s="35" t="str">
        <f t="shared" si="0"/>
        <v>CorrespondenceGeneral</v>
      </c>
      <c r="F14" s="9" t="s">
        <v>163</v>
      </c>
      <c r="G14" s="65" t="s">
        <v>128</v>
      </c>
      <c r="H14" s="9" t="s">
        <v>89</v>
      </c>
      <c r="I14" s="9" t="s">
        <v>254</v>
      </c>
      <c r="J14" s="9" t="s">
        <v>280</v>
      </c>
      <c r="K14" s="9" t="s">
        <v>818</v>
      </c>
      <c r="L14" s="38" t="s">
        <v>296</v>
      </c>
    </row>
    <row r="15" spans="1:12" ht="84" customHeight="1">
      <c r="B15" s="35" t="s">
        <v>16</v>
      </c>
      <c r="C15" s="9" t="s">
        <v>144</v>
      </c>
      <c r="D15" s="35" t="s">
        <v>54</v>
      </c>
      <c r="E15" s="35" t="str">
        <f t="shared" si="0"/>
        <v>Claims ApprovalGeneral</v>
      </c>
      <c r="F15" s="9" t="s">
        <v>164</v>
      </c>
      <c r="G15" s="65" t="s">
        <v>231</v>
      </c>
      <c r="H15" s="9" t="s">
        <v>126</v>
      </c>
      <c r="I15" s="9" t="s">
        <v>254</v>
      </c>
      <c r="J15" s="9" t="s">
        <v>280</v>
      </c>
      <c r="K15" s="9" t="s">
        <v>260</v>
      </c>
      <c r="L15" s="38" t="s">
        <v>296</v>
      </c>
    </row>
    <row r="16" spans="1:12" ht="105" customHeight="1">
      <c r="B16" s="35" t="s">
        <v>16</v>
      </c>
      <c r="C16" s="9" t="s">
        <v>136</v>
      </c>
      <c r="D16" s="35" t="s">
        <v>54</v>
      </c>
      <c r="E16" s="35" t="str">
        <f t="shared" si="0"/>
        <v>CorrespondenceGeneral</v>
      </c>
      <c r="F16" s="9" t="s">
        <v>165</v>
      </c>
      <c r="G16" s="65" t="s">
        <v>455</v>
      </c>
      <c r="H16" s="9" t="s">
        <v>256</v>
      </c>
      <c r="I16" s="9" t="s">
        <v>254</v>
      </c>
      <c r="J16" s="9" t="s">
        <v>280</v>
      </c>
      <c r="K16" s="9" t="s">
        <v>263</v>
      </c>
      <c r="L16" s="38" t="s">
        <v>296</v>
      </c>
    </row>
    <row r="17" spans="1:12" ht="387.6">
      <c r="B17" s="35" t="s">
        <v>16</v>
      </c>
      <c r="C17" s="9" t="s">
        <v>143</v>
      </c>
      <c r="D17" s="35" t="s">
        <v>54</v>
      </c>
      <c r="E17" s="35" t="str">
        <f t="shared" si="0"/>
        <v>Settlement ReportingGeneral</v>
      </c>
      <c r="F17" s="9" t="s">
        <v>166</v>
      </c>
      <c r="G17" s="65" t="s">
        <v>456</v>
      </c>
      <c r="H17" s="9" t="s">
        <v>256</v>
      </c>
      <c r="I17" s="9" t="s">
        <v>254</v>
      </c>
      <c r="J17" s="9" t="s">
        <v>280</v>
      </c>
      <c r="K17" s="9" t="s">
        <v>260</v>
      </c>
      <c r="L17" s="38" t="s">
        <v>296</v>
      </c>
    </row>
    <row r="18" spans="1:12" ht="156" customHeight="1">
      <c r="B18" s="35" t="s">
        <v>16</v>
      </c>
      <c r="C18" s="35" t="s">
        <v>140</v>
      </c>
      <c r="D18" s="35" t="s">
        <v>54</v>
      </c>
      <c r="E18" s="35" t="str">
        <f>CONCATENATE(C18,D18)</f>
        <v>Claims PaymentGeneral</v>
      </c>
      <c r="F18" s="96" t="s">
        <v>311</v>
      </c>
      <c r="G18" s="98" t="s">
        <v>457</v>
      </c>
      <c r="H18" s="109" t="s">
        <v>91</v>
      </c>
      <c r="I18" s="9" t="s">
        <v>213</v>
      </c>
      <c r="J18" s="9" t="s">
        <v>280</v>
      </c>
      <c r="K18" s="9" t="s">
        <v>260</v>
      </c>
      <c r="L18" s="38" t="s">
        <v>296</v>
      </c>
    </row>
    <row r="19" spans="1:12" ht="217.5" customHeight="1">
      <c r="A19" s="36"/>
      <c r="B19" s="35" t="s">
        <v>16</v>
      </c>
      <c r="C19" s="35" t="s">
        <v>141</v>
      </c>
      <c r="D19" s="35" t="s">
        <v>54</v>
      </c>
      <c r="E19" s="35" t="str">
        <f>CONCATENATE(C19,D19)</f>
        <v>Claims ClosureGeneral</v>
      </c>
      <c r="F19" s="9" t="s">
        <v>153</v>
      </c>
      <c r="G19" s="98" t="s">
        <v>458</v>
      </c>
      <c r="H19" s="9" t="s">
        <v>92</v>
      </c>
      <c r="I19" s="9" t="s">
        <v>213</v>
      </c>
      <c r="J19" s="9" t="s">
        <v>280</v>
      </c>
      <c r="K19" s="9" t="s">
        <v>281</v>
      </c>
      <c r="L19" s="38" t="s">
        <v>296</v>
      </c>
    </row>
    <row r="20" spans="1:12" ht="201" customHeight="1">
      <c r="B20" s="35" t="s">
        <v>16</v>
      </c>
      <c r="C20" s="9" t="s">
        <v>142</v>
      </c>
      <c r="D20" s="35" t="s">
        <v>54</v>
      </c>
      <c r="E20" s="35" t="str">
        <f>CONCATENATE(C20,D20)</f>
        <v>Claims ReopenGeneral</v>
      </c>
      <c r="F20" s="9" t="s">
        <v>159</v>
      </c>
      <c r="G20" s="98" t="s">
        <v>526</v>
      </c>
      <c r="H20" s="9" t="s">
        <v>91</v>
      </c>
      <c r="I20" s="9" t="s">
        <v>213</v>
      </c>
      <c r="J20" s="9" t="s">
        <v>280</v>
      </c>
      <c r="K20" s="9" t="s">
        <v>281</v>
      </c>
      <c r="L20" s="38" t="s">
        <v>296</v>
      </c>
    </row>
    <row r="21" spans="1:12">
      <c r="B21" s="125"/>
      <c r="C21" s="125"/>
      <c r="D21" s="125"/>
      <c r="E21" s="125"/>
      <c r="F21" s="125"/>
      <c r="G21" s="127"/>
      <c r="H21" s="126"/>
      <c r="I21" s="126"/>
      <c r="J21" s="126"/>
      <c r="K21" s="126"/>
      <c r="L21" s="125"/>
    </row>
    <row r="22" spans="1:12" ht="33" customHeight="1">
      <c r="B22" s="125"/>
      <c r="C22" s="125"/>
      <c r="D22" s="125"/>
      <c r="E22" s="125"/>
      <c r="F22" s="125"/>
      <c r="G22" s="127" t="s">
        <v>645</v>
      </c>
      <c r="H22" s="126"/>
      <c r="I22" s="126"/>
      <c r="J22" s="126"/>
      <c r="K22" s="126"/>
      <c r="L22" s="125"/>
    </row>
    <row r="23" spans="1:12" ht="40.200000000000003" customHeight="1">
      <c r="B23" s="125"/>
      <c r="C23" s="125"/>
      <c r="D23" s="125"/>
      <c r="E23" s="125"/>
      <c r="F23" s="125"/>
      <c r="G23" s="127" t="s">
        <v>646</v>
      </c>
      <c r="H23" s="126"/>
      <c r="I23" s="126"/>
      <c r="J23" s="126"/>
      <c r="K23" s="126"/>
      <c r="L23" s="125"/>
    </row>
    <row r="24" spans="1:12" ht="38.4" customHeight="1">
      <c r="B24" s="125"/>
      <c r="C24" s="125"/>
      <c r="D24" s="125"/>
      <c r="E24" s="125"/>
      <c r="F24" s="125"/>
      <c r="G24" s="127" t="s">
        <v>647</v>
      </c>
      <c r="H24" s="126"/>
      <c r="I24" s="126"/>
      <c r="J24" s="126"/>
      <c r="K24" s="126"/>
      <c r="L24" s="125"/>
    </row>
    <row r="25" spans="1:12" ht="46.2" customHeight="1">
      <c r="B25" s="125"/>
      <c r="C25" s="125"/>
      <c r="D25" s="125"/>
      <c r="E25" s="125"/>
      <c r="F25" s="125"/>
      <c r="G25" s="127" t="s">
        <v>648</v>
      </c>
      <c r="H25" s="126"/>
      <c r="I25" s="126"/>
      <c r="J25" s="126"/>
      <c r="K25" s="126"/>
      <c r="L25" s="125"/>
    </row>
  </sheetData>
  <mergeCells count="10">
    <mergeCell ref="A1:A3"/>
    <mergeCell ref="B2:B3"/>
    <mergeCell ref="C2:C3"/>
    <mergeCell ref="D2:D3"/>
    <mergeCell ref="F2:F3"/>
    <mergeCell ref="G2:G3"/>
    <mergeCell ref="K2:K3"/>
    <mergeCell ref="J2:J3"/>
    <mergeCell ref="H2:H3"/>
    <mergeCell ref="I2:I3"/>
  </mergeCells>
  <hyperlinks>
    <hyperlink ref="A1:A3" location="'A. Claims Story Map'!A1" display="Back"/>
  </hyperlinks>
  <printOptions horizontalCentered="1" gridLines="1"/>
  <pageMargins left="0.23622047244094491" right="0.23622047244094491" top="0.51181102362204722" bottom="0.51181102362204722" header="0.31496062992125984" footer="0.31496062992125984"/>
  <pageSetup paperSize="5" scale="77" fitToHeight="0" orientation="landscape" horizontalDpi="300" verticalDpi="300" r:id="rId1"/>
  <headerFooter>
    <oddHeader>&amp;F</oddHeader>
    <oddFooter>&amp;A&amp;RPage &amp;P</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00B0F0"/>
    <outlinePr summaryRight="0"/>
    <pageSetUpPr fitToPage="1"/>
  </sheetPr>
  <dimension ref="A1:L12"/>
  <sheetViews>
    <sheetView showGridLines="0" zoomScale="80" zoomScaleNormal="80" workbookViewId="0">
      <pane xSplit="7" ySplit="3" topLeftCell="H4" activePane="bottomRight" state="frozen"/>
      <selection activeCell="J6" sqref="J6"/>
      <selection pane="topRight" activeCell="J6" sqref="J6"/>
      <selection pane="bottomLeft" activeCell="J6" sqref="J6"/>
      <selection pane="bottomRight" activeCell="B2" sqref="B2:B3"/>
    </sheetView>
  </sheetViews>
  <sheetFormatPr defaultColWidth="9.109375" defaultRowHeight="14.4"/>
  <cols>
    <col min="1" max="1" width="3.109375" style="5" bestFit="1" customWidth="1"/>
    <col min="2" max="2" width="14.33203125" style="5" customWidth="1"/>
    <col min="3" max="3" width="13.5546875" style="5" customWidth="1"/>
    <col min="4" max="4" width="14.6640625" style="5" customWidth="1"/>
    <col min="5" max="5" width="21.109375" style="5" customWidth="1"/>
    <col min="6" max="6" width="17.6640625" style="5" customWidth="1"/>
    <col min="7" max="7" width="41.33203125" style="5" customWidth="1"/>
    <col min="8" max="9" width="14.5546875" style="1" customWidth="1"/>
    <col min="10" max="11" width="20.6640625" style="1" customWidth="1"/>
    <col min="12" max="12" width="20.88671875" style="5" customWidth="1"/>
    <col min="13" max="16384" width="9.109375" style="5"/>
  </cols>
  <sheetData>
    <row r="1" spans="1:12" s="3" customFormat="1" ht="15" customHeight="1">
      <c r="A1" s="166" t="s">
        <v>53</v>
      </c>
      <c r="B1" s="2" t="s">
        <v>129</v>
      </c>
      <c r="C1" s="2"/>
      <c r="D1" s="2"/>
      <c r="E1" s="2"/>
      <c r="F1" s="2"/>
      <c r="G1" s="2"/>
      <c r="H1" s="41"/>
      <c r="I1" s="41"/>
      <c r="J1" s="41"/>
      <c r="K1" s="41"/>
      <c r="L1" s="2"/>
    </row>
    <row r="2" spans="1:12" ht="34.5" customHeight="1">
      <c r="A2" s="166"/>
      <c r="B2" s="159" t="s">
        <v>0</v>
      </c>
      <c r="C2" s="159" t="s">
        <v>1</v>
      </c>
      <c r="D2" s="159" t="s">
        <v>23</v>
      </c>
      <c r="E2" s="62"/>
      <c r="F2" s="159" t="s">
        <v>9</v>
      </c>
      <c r="G2" s="159" t="s">
        <v>10</v>
      </c>
      <c r="H2" s="159" t="s">
        <v>150</v>
      </c>
      <c r="I2" s="159" t="s">
        <v>351</v>
      </c>
      <c r="J2" s="159" t="s">
        <v>8</v>
      </c>
      <c r="K2" s="159" t="s">
        <v>132</v>
      </c>
      <c r="L2" s="169" t="s">
        <v>301</v>
      </c>
    </row>
    <row r="3" spans="1:12" ht="24.75" customHeight="1">
      <c r="A3" s="166"/>
      <c r="B3" s="160"/>
      <c r="C3" s="160"/>
      <c r="D3" s="160"/>
      <c r="E3" s="63"/>
      <c r="F3" s="160"/>
      <c r="G3" s="160"/>
      <c r="H3" s="160"/>
      <c r="I3" s="160"/>
      <c r="J3" s="160"/>
      <c r="K3" s="160"/>
      <c r="L3" s="169"/>
    </row>
    <row r="4" spans="1:12" ht="242.25" customHeight="1">
      <c r="A4" s="36"/>
      <c r="B4" s="67" t="s">
        <v>38</v>
      </c>
      <c r="C4" s="68" t="s">
        <v>29</v>
      </c>
      <c r="D4" s="67" t="s">
        <v>54</v>
      </c>
      <c r="E4" s="67" t="str">
        <f>CONCATENATE(C4,D4)</f>
        <v>Fraud DetectionGeneral</v>
      </c>
      <c r="F4" s="69" t="s">
        <v>167</v>
      </c>
      <c r="G4" s="65" t="s">
        <v>459</v>
      </c>
      <c r="H4" s="9" t="s">
        <v>89</v>
      </c>
      <c r="I4" s="9" t="s">
        <v>213</v>
      </c>
      <c r="J4" s="70" t="s">
        <v>284</v>
      </c>
      <c r="K4" s="70" t="s">
        <v>258</v>
      </c>
      <c r="L4" s="6" t="s">
        <v>296</v>
      </c>
    </row>
    <row r="5" spans="1:12" ht="150.75" customHeight="1">
      <c r="A5" s="36"/>
      <c r="B5" s="67" t="s">
        <v>38</v>
      </c>
      <c r="C5" s="68" t="s">
        <v>29</v>
      </c>
      <c r="D5" s="67" t="s">
        <v>54</v>
      </c>
      <c r="E5" s="67" t="str">
        <f t="shared" ref="E5:E11" si="0">CONCATENATE(C5,D5)</f>
        <v>Fraud DetectionGeneral</v>
      </c>
      <c r="F5" s="69" t="s">
        <v>168</v>
      </c>
      <c r="G5" s="108" t="s">
        <v>318</v>
      </c>
      <c r="H5" s="9" t="s">
        <v>89</v>
      </c>
      <c r="I5" s="9" t="s">
        <v>213</v>
      </c>
      <c r="J5" s="70" t="s">
        <v>284</v>
      </c>
      <c r="K5" s="70" t="s">
        <v>258</v>
      </c>
      <c r="L5" s="69" t="s">
        <v>296</v>
      </c>
    </row>
    <row r="6" spans="1:12" ht="108" customHeight="1">
      <c r="A6" s="36"/>
      <c r="B6" s="67" t="s">
        <v>38</v>
      </c>
      <c r="C6" s="68" t="s">
        <v>29</v>
      </c>
      <c r="D6" s="67" t="s">
        <v>54</v>
      </c>
      <c r="E6" s="67" t="str">
        <f t="shared" si="0"/>
        <v>Fraud DetectionGeneral</v>
      </c>
      <c r="F6" s="69" t="s">
        <v>169</v>
      </c>
      <c r="G6" s="108" t="s">
        <v>460</v>
      </c>
      <c r="H6" s="9" t="s">
        <v>92</v>
      </c>
      <c r="I6" s="9" t="s">
        <v>213</v>
      </c>
      <c r="J6" s="70" t="s">
        <v>284</v>
      </c>
      <c r="K6" s="70" t="s">
        <v>283</v>
      </c>
      <c r="L6" s="69" t="s">
        <v>296</v>
      </c>
    </row>
    <row r="7" spans="1:12" ht="160.5" customHeight="1">
      <c r="A7" s="36"/>
      <c r="B7" s="67" t="s">
        <v>38</v>
      </c>
      <c r="C7" s="68" t="s">
        <v>130</v>
      </c>
      <c r="D7" s="67" t="s">
        <v>54</v>
      </c>
      <c r="E7" s="67" t="str">
        <f t="shared" si="0"/>
        <v>Fraud InvestigationGeneral</v>
      </c>
      <c r="F7" s="69" t="s">
        <v>170</v>
      </c>
      <c r="G7" s="108" t="s">
        <v>461</v>
      </c>
      <c r="H7" s="9" t="s">
        <v>126</v>
      </c>
      <c r="I7" s="9" t="s">
        <v>213</v>
      </c>
      <c r="J7" s="70" t="s">
        <v>284</v>
      </c>
      <c r="K7" s="70" t="s">
        <v>283</v>
      </c>
      <c r="L7" s="69" t="s">
        <v>296</v>
      </c>
    </row>
    <row r="8" spans="1:12" ht="121.5" customHeight="1">
      <c r="A8" s="36"/>
      <c r="B8" s="67" t="s">
        <v>38</v>
      </c>
      <c r="C8" s="68" t="s">
        <v>130</v>
      </c>
      <c r="D8" s="67" t="s">
        <v>54</v>
      </c>
      <c r="E8" s="67" t="str">
        <f t="shared" si="0"/>
        <v>Fraud InvestigationGeneral</v>
      </c>
      <c r="F8" s="69" t="s">
        <v>171</v>
      </c>
      <c r="G8" s="65" t="s">
        <v>544</v>
      </c>
      <c r="H8" s="9" t="s">
        <v>91</v>
      </c>
      <c r="I8" s="9" t="s">
        <v>213</v>
      </c>
      <c r="J8" s="70" t="s">
        <v>284</v>
      </c>
      <c r="K8" s="70" t="s">
        <v>283</v>
      </c>
      <c r="L8" s="69" t="s">
        <v>296</v>
      </c>
    </row>
    <row r="9" spans="1:12" ht="180.75" customHeight="1">
      <c r="A9" s="36"/>
      <c r="B9" s="67" t="s">
        <v>38</v>
      </c>
      <c r="C9" s="68" t="s">
        <v>130</v>
      </c>
      <c r="D9" s="67" t="s">
        <v>54</v>
      </c>
      <c r="E9" s="67" t="str">
        <f t="shared" si="0"/>
        <v>Fraud InvestigationGeneral</v>
      </c>
      <c r="F9" s="69" t="s">
        <v>172</v>
      </c>
      <c r="G9" s="65" t="s">
        <v>462</v>
      </c>
      <c r="H9" s="9" t="s">
        <v>91</v>
      </c>
      <c r="I9" s="9" t="s">
        <v>213</v>
      </c>
      <c r="J9" s="70" t="s">
        <v>284</v>
      </c>
      <c r="K9" s="70" t="s">
        <v>283</v>
      </c>
      <c r="L9" s="69"/>
    </row>
    <row r="10" spans="1:12" ht="69" customHeight="1">
      <c r="A10" s="36"/>
      <c r="B10" s="67" t="s">
        <v>38</v>
      </c>
      <c r="C10" s="68" t="s">
        <v>130</v>
      </c>
      <c r="D10" s="67" t="s">
        <v>54</v>
      </c>
      <c r="E10" s="67" t="str">
        <f t="shared" si="0"/>
        <v>Fraud InvestigationGeneral</v>
      </c>
      <c r="F10" s="69" t="s">
        <v>173</v>
      </c>
      <c r="G10" s="65" t="s">
        <v>133</v>
      </c>
      <c r="H10" s="9" t="s">
        <v>91</v>
      </c>
      <c r="I10" s="9" t="s">
        <v>213</v>
      </c>
      <c r="J10" s="70" t="s">
        <v>284</v>
      </c>
      <c r="K10" s="70" t="s">
        <v>283</v>
      </c>
      <c r="L10" s="69"/>
    </row>
    <row r="11" spans="1:12" ht="75" customHeight="1">
      <c r="A11" s="36"/>
      <c r="B11" s="67" t="s">
        <v>38</v>
      </c>
      <c r="C11" s="68" t="s">
        <v>130</v>
      </c>
      <c r="D11" s="67" t="s">
        <v>54</v>
      </c>
      <c r="E11" s="67" t="str">
        <f t="shared" si="0"/>
        <v>Fraud InvestigationGeneral</v>
      </c>
      <c r="F11" s="69" t="s">
        <v>174</v>
      </c>
      <c r="G11" s="65" t="s">
        <v>315</v>
      </c>
      <c r="H11" s="9" t="s">
        <v>126</v>
      </c>
      <c r="I11" s="9" t="s">
        <v>213</v>
      </c>
      <c r="J11" s="70" t="s">
        <v>17</v>
      </c>
      <c r="K11" s="70" t="s">
        <v>258</v>
      </c>
      <c r="L11" s="69" t="s">
        <v>296</v>
      </c>
    </row>
    <row r="12" spans="1:12" ht="120.75" customHeight="1">
      <c r="A12" s="36"/>
      <c r="B12" s="67" t="s">
        <v>38</v>
      </c>
      <c r="C12" s="68" t="s">
        <v>547</v>
      </c>
      <c r="D12" s="67" t="s">
        <v>54</v>
      </c>
      <c r="E12" s="67" t="str">
        <f>CONCATENATE(C12,D12)</f>
        <v>RatingGeneral</v>
      </c>
      <c r="F12" s="69" t="s">
        <v>650</v>
      </c>
      <c r="G12" s="65" t="s">
        <v>545</v>
      </c>
      <c r="H12" s="9" t="s">
        <v>126</v>
      </c>
      <c r="I12" s="9" t="s">
        <v>213</v>
      </c>
      <c r="J12" s="70" t="s">
        <v>17</v>
      </c>
      <c r="K12" s="70" t="s">
        <v>546</v>
      </c>
      <c r="L12" s="69" t="s">
        <v>296</v>
      </c>
    </row>
  </sheetData>
  <mergeCells count="11">
    <mergeCell ref="L2:L3"/>
    <mergeCell ref="K2:K3"/>
    <mergeCell ref="J2:J3"/>
    <mergeCell ref="A1:A3"/>
    <mergeCell ref="B2:B3"/>
    <mergeCell ref="C2:C3"/>
    <mergeCell ref="D2:D3"/>
    <mergeCell ref="F2:F3"/>
    <mergeCell ref="G2:G3"/>
    <mergeCell ref="H2:H3"/>
    <mergeCell ref="I2:I3"/>
  </mergeCells>
  <hyperlinks>
    <hyperlink ref="A1:A3" location="'A. Claims Story Map'!A1" display="Back"/>
  </hyperlinks>
  <printOptions horizontalCentered="1" gridLines="1"/>
  <pageMargins left="0.23622047244094491" right="0.23622047244094491" top="0.51181102362204722" bottom="0.51181102362204722" header="0.31496062992125984" footer="0.31496062992125984"/>
  <pageSetup paperSize="5" scale="83" fitToHeight="0" orientation="landscape" horizontalDpi="300" verticalDpi="300" r:id="rId1"/>
  <headerFooter>
    <oddHeader>&amp;F</oddHeader>
    <oddFooter>&amp;A&amp;RPage &amp;P</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00B0F0"/>
    <outlinePr summaryRight="0"/>
    <pageSetUpPr fitToPage="1"/>
  </sheetPr>
  <dimension ref="A1:L9"/>
  <sheetViews>
    <sheetView showGridLines="0" zoomScale="87" zoomScaleNormal="87" workbookViewId="0">
      <pane xSplit="7" ySplit="3" topLeftCell="H4" activePane="bottomRight" state="frozen"/>
      <selection activeCell="J6" sqref="J6"/>
      <selection pane="topRight" activeCell="J6" sqref="J6"/>
      <selection pane="bottomLeft" activeCell="J6" sqref="J6"/>
      <selection pane="bottomRight" activeCell="B2" sqref="B2:B3"/>
    </sheetView>
  </sheetViews>
  <sheetFormatPr defaultColWidth="9.109375" defaultRowHeight="14.4"/>
  <cols>
    <col min="1" max="1" width="3.109375" style="5" bestFit="1" customWidth="1"/>
    <col min="2" max="2" width="14.33203125" style="5" customWidth="1"/>
    <col min="3" max="3" width="13.5546875" style="5" customWidth="1"/>
    <col min="4" max="4" width="14.6640625" style="5" customWidth="1"/>
    <col min="5" max="5" width="21.109375" style="5" hidden="1" customWidth="1"/>
    <col min="6" max="6" width="17.6640625" style="5" customWidth="1"/>
    <col min="7" max="7" width="45.109375" style="5" customWidth="1"/>
    <col min="8" max="9" width="14.5546875" style="1" customWidth="1"/>
    <col min="10" max="11" width="20.6640625" style="1" customWidth="1"/>
    <col min="12" max="12" width="19.109375" style="5" customWidth="1"/>
    <col min="13" max="16384" width="9.109375" style="5"/>
  </cols>
  <sheetData>
    <row r="1" spans="1:12" s="3" customFormat="1" ht="15" customHeight="1">
      <c r="A1" s="166" t="s">
        <v>53</v>
      </c>
      <c r="B1" s="2" t="s">
        <v>129</v>
      </c>
      <c r="C1" s="2"/>
      <c r="D1" s="2"/>
      <c r="E1" s="2"/>
      <c r="F1" s="2"/>
      <c r="G1" s="2"/>
      <c r="H1" s="41"/>
      <c r="I1" s="41"/>
      <c r="J1" s="41"/>
      <c r="K1" s="41"/>
      <c r="L1" s="41"/>
    </row>
    <row r="2" spans="1:12" ht="34.5" customHeight="1">
      <c r="A2" s="166"/>
      <c r="B2" s="159" t="s">
        <v>0</v>
      </c>
      <c r="C2" s="159" t="s">
        <v>1</v>
      </c>
      <c r="D2" s="159" t="s">
        <v>23</v>
      </c>
      <c r="E2" s="62"/>
      <c r="F2" s="159" t="s">
        <v>9</v>
      </c>
      <c r="G2" s="159" t="s">
        <v>10</v>
      </c>
      <c r="H2" s="159" t="s">
        <v>150</v>
      </c>
      <c r="I2" s="159" t="s">
        <v>351</v>
      </c>
      <c r="J2" s="159" t="s">
        <v>8</v>
      </c>
      <c r="K2" s="159" t="s">
        <v>132</v>
      </c>
      <c r="L2" s="169" t="s">
        <v>301</v>
      </c>
    </row>
    <row r="3" spans="1:12" ht="24.75" customHeight="1">
      <c r="A3" s="166"/>
      <c r="B3" s="160"/>
      <c r="C3" s="160"/>
      <c r="D3" s="160"/>
      <c r="E3" s="63"/>
      <c r="F3" s="160"/>
      <c r="G3" s="160"/>
      <c r="H3" s="160"/>
      <c r="I3" s="160"/>
      <c r="J3" s="160"/>
      <c r="K3" s="160"/>
      <c r="L3" s="169"/>
    </row>
    <row r="4" spans="1:12" ht="174.75" customHeight="1">
      <c r="A4" s="36"/>
      <c r="B4" s="71" t="s">
        <v>18</v>
      </c>
      <c r="C4" s="72" t="s">
        <v>148</v>
      </c>
      <c r="D4" s="73" t="s">
        <v>54</v>
      </c>
      <c r="E4" s="73" t="str">
        <f t="shared" ref="E4:E9" si="0">CONCATENATE(C4,D4)</f>
        <v>Recovery OpportunityGeneral</v>
      </c>
      <c r="F4" s="72" t="s">
        <v>180</v>
      </c>
      <c r="G4" s="104" t="s">
        <v>463</v>
      </c>
      <c r="H4" s="9" t="s">
        <v>91</v>
      </c>
      <c r="I4" s="9" t="s">
        <v>213</v>
      </c>
      <c r="J4" s="70" t="s">
        <v>17</v>
      </c>
      <c r="K4" s="70" t="s">
        <v>15</v>
      </c>
      <c r="L4" s="11"/>
    </row>
    <row r="5" spans="1:12" ht="99" customHeight="1">
      <c r="A5" s="36"/>
      <c r="B5" s="71" t="s">
        <v>18</v>
      </c>
      <c r="C5" s="72" t="s">
        <v>145</v>
      </c>
      <c r="D5" s="73" t="s">
        <v>54</v>
      </c>
      <c r="E5" s="73" t="str">
        <f t="shared" si="0"/>
        <v>Recovery ReserveGeneral</v>
      </c>
      <c r="F5" s="72" t="s">
        <v>175</v>
      </c>
      <c r="G5" s="74" t="s">
        <v>464</v>
      </c>
      <c r="H5" s="9" t="s">
        <v>91</v>
      </c>
      <c r="I5" s="9" t="s">
        <v>213</v>
      </c>
      <c r="J5" s="70" t="s">
        <v>17</v>
      </c>
      <c r="K5" s="70" t="s">
        <v>260</v>
      </c>
      <c r="L5" s="11"/>
    </row>
    <row r="6" spans="1:12" ht="75.75" customHeight="1">
      <c r="A6" s="36"/>
      <c r="B6" s="71" t="s">
        <v>18</v>
      </c>
      <c r="C6" s="72" t="s">
        <v>146</v>
      </c>
      <c r="D6" s="73" t="s">
        <v>54</v>
      </c>
      <c r="E6" s="73" t="str">
        <f t="shared" si="0"/>
        <v>Recovery Doc MgmtGeneral</v>
      </c>
      <c r="F6" s="72" t="s">
        <v>176</v>
      </c>
      <c r="G6" s="74" t="s">
        <v>465</v>
      </c>
      <c r="H6" s="9" t="s">
        <v>91</v>
      </c>
      <c r="I6" s="9" t="s">
        <v>213</v>
      </c>
      <c r="J6" s="70" t="s">
        <v>17</v>
      </c>
      <c r="K6" s="70" t="s">
        <v>818</v>
      </c>
      <c r="L6" s="11"/>
    </row>
    <row r="7" spans="1:12" ht="159.75" customHeight="1">
      <c r="A7" s="36"/>
      <c r="B7" s="71" t="s">
        <v>18</v>
      </c>
      <c r="C7" s="72" t="s">
        <v>466</v>
      </c>
      <c r="D7" s="73" t="s">
        <v>54</v>
      </c>
      <c r="E7" s="73" t="str">
        <f t="shared" si="0"/>
        <v>Recovery Data Mgmt.General</v>
      </c>
      <c r="F7" s="72" t="s">
        <v>177</v>
      </c>
      <c r="G7" s="74" t="s">
        <v>467</v>
      </c>
      <c r="H7" s="9" t="s">
        <v>91</v>
      </c>
      <c r="I7" s="9" t="s">
        <v>213</v>
      </c>
      <c r="J7" s="70" t="s">
        <v>17</v>
      </c>
      <c r="K7" s="70" t="s">
        <v>285</v>
      </c>
      <c r="L7" s="11"/>
    </row>
    <row r="8" spans="1:12" ht="108.75" customHeight="1">
      <c r="A8" s="36"/>
      <c r="B8" s="71" t="s">
        <v>18</v>
      </c>
      <c r="C8" s="72" t="s">
        <v>147</v>
      </c>
      <c r="D8" s="73" t="s">
        <v>54</v>
      </c>
      <c r="E8" s="73" t="str">
        <f t="shared" si="0"/>
        <v>Recovery InvestigationGeneral</v>
      </c>
      <c r="F8" s="72" t="s">
        <v>178</v>
      </c>
      <c r="G8" s="74" t="s">
        <v>316</v>
      </c>
      <c r="H8" s="9" t="s">
        <v>91</v>
      </c>
      <c r="I8" s="9" t="s">
        <v>213</v>
      </c>
      <c r="J8" s="70" t="s">
        <v>17</v>
      </c>
      <c r="K8" s="70" t="s">
        <v>285</v>
      </c>
      <c r="L8" s="11"/>
    </row>
    <row r="9" spans="1:12" ht="146.25" customHeight="1">
      <c r="A9" s="36"/>
      <c r="B9" s="71" t="s">
        <v>18</v>
      </c>
      <c r="C9" s="72" t="s">
        <v>136</v>
      </c>
      <c r="D9" s="73" t="s">
        <v>54</v>
      </c>
      <c r="E9" s="73" t="str">
        <f t="shared" si="0"/>
        <v>CorrespondenceGeneral</v>
      </c>
      <c r="F9" s="72" t="s">
        <v>179</v>
      </c>
      <c r="G9" s="75" t="s">
        <v>317</v>
      </c>
      <c r="H9" s="9" t="s">
        <v>286</v>
      </c>
      <c r="I9" s="9" t="s">
        <v>213</v>
      </c>
      <c r="J9" s="70" t="s">
        <v>17</v>
      </c>
      <c r="K9" s="70" t="s">
        <v>818</v>
      </c>
      <c r="L9" s="11"/>
    </row>
  </sheetData>
  <mergeCells count="11">
    <mergeCell ref="A1:A3"/>
    <mergeCell ref="B2:B3"/>
    <mergeCell ref="C2:C3"/>
    <mergeCell ref="D2:D3"/>
    <mergeCell ref="F2:F3"/>
    <mergeCell ref="L2:L3"/>
    <mergeCell ref="G2:G3"/>
    <mergeCell ref="H2:H3"/>
    <mergeCell ref="I2:I3"/>
    <mergeCell ref="J2:J3"/>
    <mergeCell ref="K2:K3"/>
  </mergeCells>
  <hyperlinks>
    <hyperlink ref="A1:A3" location="'A. Claims Story Map'!A1" display="Back"/>
  </hyperlinks>
  <printOptions horizontalCentered="1" gridLines="1"/>
  <pageMargins left="0.23622047244094491" right="0.23622047244094491" top="0.51181102362204722" bottom="0.51181102362204722" header="0.31496062992125984" footer="0.31496062992125984"/>
  <pageSetup paperSize="5" scale="83" fitToHeight="0" orientation="landscape" horizontalDpi="300" verticalDpi="300" r:id="rId1"/>
  <headerFooter>
    <oddHeader>&amp;F</oddHeader>
    <oddFooter>&amp;A&amp;RPage &amp;P</oddFooter>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00B0F0"/>
  </sheetPr>
  <dimension ref="A1:K42"/>
  <sheetViews>
    <sheetView zoomScale="80" zoomScaleNormal="80" workbookViewId="0">
      <pane xSplit="1" topLeftCell="B1" activePane="topRight" state="frozen"/>
      <selection pane="topRight" activeCell="B2" sqref="B2:B3"/>
    </sheetView>
  </sheetViews>
  <sheetFormatPr defaultRowHeight="14.4"/>
  <cols>
    <col min="1" max="1" width="2.44140625" style="5" customWidth="1"/>
    <col min="2" max="2" width="10.44140625" customWidth="1"/>
    <col min="3" max="3" width="11.109375" customWidth="1"/>
    <col min="4" max="4" width="7" customWidth="1"/>
    <col min="5" max="5" width="21.6640625" customWidth="1"/>
    <col min="6" max="6" width="16" customWidth="1"/>
    <col min="7" max="7" width="59" customWidth="1"/>
    <col min="8" max="8" width="14" customWidth="1"/>
    <col min="9" max="9" width="13" customWidth="1"/>
    <col min="10" max="10" width="16.44140625" customWidth="1"/>
    <col min="11" max="11" width="15.88671875" customWidth="1"/>
  </cols>
  <sheetData>
    <row r="1" spans="1:11">
      <c r="A1" s="166" t="s">
        <v>53</v>
      </c>
      <c r="B1" s="76" t="s">
        <v>218</v>
      </c>
      <c r="C1" s="76"/>
      <c r="D1" s="76"/>
      <c r="E1" s="76"/>
      <c r="F1" s="76"/>
      <c r="G1" s="76"/>
      <c r="H1" s="41"/>
      <c r="I1" s="41"/>
      <c r="J1" s="41"/>
      <c r="K1" s="41"/>
    </row>
    <row r="2" spans="1:11" ht="19.5" customHeight="1">
      <c r="A2" s="166"/>
      <c r="B2" s="172" t="s">
        <v>0</v>
      </c>
      <c r="C2" s="172" t="s">
        <v>1</v>
      </c>
      <c r="D2" s="172" t="s">
        <v>23</v>
      </c>
      <c r="E2" s="77"/>
      <c r="F2" s="172" t="s">
        <v>9</v>
      </c>
      <c r="G2" s="172" t="s">
        <v>10</v>
      </c>
      <c r="H2" s="159" t="s">
        <v>150</v>
      </c>
      <c r="I2" s="159" t="s">
        <v>351</v>
      </c>
      <c r="J2" s="159" t="s">
        <v>8</v>
      </c>
      <c r="K2" s="170" t="s">
        <v>131</v>
      </c>
    </row>
    <row r="3" spans="1:11">
      <c r="A3" s="166"/>
      <c r="B3" s="173"/>
      <c r="C3" s="173"/>
      <c r="D3" s="173"/>
      <c r="E3" s="78"/>
      <c r="F3" s="173"/>
      <c r="G3" s="173"/>
      <c r="H3" s="160"/>
      <c r="I3" s="160"/>
      <c r="J3" s="160"/>
      <c r="K3" s="171"/>
    </row>
    <row r="4" spans="1:11" ht="265.95" customHeight="1">
      <c r="A4" s="36"/>
      <c r="B4" s="79" t="s">
        <v>25</v>
      </c>
      <c r="C4" s="79" t="s">
        <v>219</v>
      </c>
      <c r="D4" s="79" t="s">
        <v>54</v>
      </c>
      <c r="E4" s="79" t="str">
        <f t="shared" ref="E4:E21" si="0">CONCATENATE(C4,D4)</f>
        <v>User profileGeneral</v>
      </c>
      <c r="F4" s="79" t="s">
        <v>232</v>
      </c>
      <c r="G4" s="110" t="s">
        <v>468</v>
      </c>
      <c r="H4" s="9" t="s">
        <v>126</v>
      </c>
      <c r="I4" s="9" t="s">
        <v>273</v>
      </c>
      <c r="J4" s="9" t="s">
        <v>287</v>
      </c>
      <c r="K4" s="9" t="s">
        <v>274</v>
      </c>
    </row>
    <row r="5" spans="1:11" ht="247.95" customHeight="1">
      <c r="A5" s="36"/>
      <c r="B5" s="79" t="s">
        <v>3</v>
      </c>
      <c r="C5" s="80" t="s">
        <v>288</v>
      </c>
      <c r="D5" s="79" t="s">
        <v>54</v>
      </c>
      <c r="E5" s="79" t="str">
        <f t="shared" si="0"/>
        <v>Claims DetailsGeneral</v>
      </c>
      <c r="F5" s="79" t="s">
        <v>233</v>
      </c>
      <c r="G5" s="110" t="s">
        <v>470</v>
      </c>
      <c r="H5" s="9" t="s">
        <v>126</v>
      </c>
      <c r="I5" s="9" t="s">
        <v>255</v>
      </c>
      <c r="J5" s="9" t="s">
        <v>17</v>
      </c>
      <c r="K5" s="9" t="s">
        <v>274</v>
      </c>
    </row>
    <row r="6" spans="1:11" ht="292.5" customHeight="1">
      <c r="A6" s="36"/>
      <c r="B6" s="79" t="s">
        <v>3</v>
      </c>
      <c r="C6" s="79" t="s">
        <v>496</v>
      </c>
      <c r="D6" s="79" t="s">
        <v>54</v>
      </c>
      <c r="E6" s="79" t="str">
        <f t="shared" si="0"/>
        <v>Work plan / Activity DesktopGeneral</v>
      </c>
      <c r="F6" s="79" t="s">
        <v>234</v>
      </c>
      <c r="G6" s="110" t="s">
        <v>471</v>
      </c>
      <c r="H6" s="9" t="s">
        <v>126</v>
      </c>
      <c r="I6" s="9" t="s">
        <v>273</v>
      </c>
      <c r="J6" s="9" t="s">
        <v>280</v>
      </c>
      <c r="K6" s="9" t="s">
        <v>274</v>
      </c>
    </row>
    <row r="7" spans="1:11" ht="183.6">
      <c r="A7" s="36"/>
      <c r="B7" s="79" t="s">
        <v>3</v>
      </c>
      <c r="C7" s="79" t="s">
        <v>114</v>
      </c>
      <c r="D7" s="79" t="s">
        <v>54</v>
      </c>
      <c r="E7" s="79" t="str">
        <f t="shared" si="0"/>
        <v>EscalationGeneral</v>
      </c>
      <c r="F7" s="79" t="s">
        <v>235</v>
      </c>
      <c r="G7" s="110" t="s">
        <v>472</v>
      </c>
      <c r="H7" s="9" t="s">
        <v>126</v>
      </c>
      <c r="I7" s="9" t="s">
        <v>255</v>
      </c>
      <c r="J7" s="9" t="s">
        <v>280</v>
      </c>
      <c r="K7" s="9" t="s">
        <v>274</v>
      </c>
    </row>
    <row r="8" spans="1:11" ht="51">
      <c r="A8" s="36"/>
      <c r="B8" s="79" t="s">
        <v>25</v>
      </c>
      <c r="C8" s="79" t="s">
        <v>60</v>
      </c>
      <c r="D8" s="79" t="s">
        <v>54</v>
      </c>
      <c r="E8" s="79" t="str">
        <f>CONCATENATE(C8,D8)</f>
        <v>Activity Pattern SetupGeneral</v>
      </c>
      <c r="F8" s="79" t="s">
        <v>236</v>
      </c>
      <c r="G8" s="111" t="s">
        <v>344</v>
      </c>
      <c r="H8" s="9" t="s">
        <v>126</v>
      </c>
      <c r="I8" s="9" t="s">
        <v>273</v>
      </c>
      <c r="J8" s="9" t="s">
        <v>280</v>
      </c>
      <c r="K8" s="9" t="s">
        <v>274</v>
      </c>
    </row>
    <row r="9" spans="1:11" ht="71.400000000000006">
      <c r="A9" s="36"/>
      <c r="B9" s="79" t="s">
        <v>3</v>
      </c>
      <c r="C9" s="79" t="s">
        <v>115</v>
      </c>
      <c r="D9" s="79" t="s">
        <v>54</v>
      </c>
      <c r="E9" s="79" t="str">
        <f t="shared" si="0"/>
        <v>Claims Re-assignmentGeneral</v>
      </c>
      <c r="F9" s="79" t="s">
        <v>389</v>
      </c>
      <c r="G9" s="111" t="s">
        <v>343</v>
      </c>
      <c r="H9" s="9" t="s">
        <v>91</v>
      </c>
      <c r="I9" s="9" t="s">
        <v>273</v>
      </c>
      <c r="J9" s="9" t="s">
        <v>280</v>
      </c>
      <c r="K9" s="9" t="s">
        <v>274</v>
      </c>
    </row>
    <row r="10" spans="1:11" ht="252.6" customHeight="1">
      <c r="A10" s="36"/>
      <c r="B10" s="79" t="s">
        <v>25</v>
      </c>
      <c r="C10" s="79" t="s">
        <v>220</v>
      </c>
      <c r="D10" s="79" t="s">
        <v>54</v>
      </c>
      <c r="E10" s="79" t="str">
        <f t="shared" si="0"/>
        <v>Authority limitsGeneral</v>
      </c>
      <c r="F10" s="79" t="s">
        <v>390</v>
      </c>
      <c r="G10" s="110" t="s">
        <v>527</v>
      </c>
      <c r="H10" s="9" t="s">
        <v>126</v>
      </c>
      <c r="I10" s="9" t="s">
        <v>267</v>
      </c>
      <c r="J10" s="9" t="s">
        <v>280</v>
      </c>
      <c r="K10" s="9" t="s">
        <v>279</v>
      </c>
    </row>
    <row r="11" spans="1:11" ht="112.2">
      <c r="A11" s="36"/>
      <c r="B11" s="79" t="s">
        <v>25</v>
      </c>
      <c r="C11" s="79" t="s">
        <v>221</v>
      </c>
      <c r="D11" s="79" t="s">
        <v>54</v>
      </c>
      <c r="E11" s="79" t="str">
        <f t="shared" si="0"/>
        <v>Claims archivingGeneral</v>
      </c>
      <c r="F11" s="79" t="s">
        <v>237</v>
      </c>
      <c r="G11" s="110" t="s">
        <v>473</v>
      </c>
      <c r="H11" s="9" t="s">
        <v>126</v>
      </c>
      <c r="I11" s="9" t="s">
        <v>273</v>
      </c>
      <c r="J11" s="9" t="s">
        <v>280</v>
      </c>
      <c r="K11" s="9" t="s">
        <v>274</v>
      </c>
    </row>
    <row r="12" spans="1:11" ht="102">
      <c r="A12" s="36"/>
      <c r="B12" s="79" t="s">
        <v>25</v>
      </c>
      <c r="C12" s="79" t="s">
        <v>222</v>
      </c>
      <c r="D12" s="79" t="s">
        <v>54</v>
      </c>
      <c r="E12" s="79" t="str">
        <f t="shared" si="0"/>
        <v>Holidays setupGeneral</v>
      </c>
      <c r="F12" s="79" t="s">
        <v>238</v>
      </c>
      <c r="G12" s="110" t="s">
        <v>345</v>
      </c>
      <c r="H12" s="9" t="s">
        <v>126</v>
      </c>
      <c r="I12" s="9" t="s">
        <v>273</v>
      </c>
      <c r="J12" s="9" t="s">
        <v>280</v>
      </c>
      <c r="K12" s="9" t="s">
        <v>274</v>
      </c>
    </row>
    <row r="13" spans="1:11" ht="102">
      <c r="A13" s="36"/>
      <c r="B13" s="79" t="s">
        <v>223</v>
      </c>
      <c r="C13" s="79" t="s">
        <v>224</v>
      </c>
      <c r="D13" s="79" t="s">
        <v>54</v>
      </c>
      <c r="E13" s="79" t="str">
        <f t="shared" si="0"/>
        <v>Claims documentsGeneral</v>
      </c>
      <c r="F13" s="79" t="s">
        <v>239</v>
      </c>
      <c r="G13" s="110" t="s">
        <v>474</v>
      </c>
      <c r="H13" s="9" t="s">
        <v>91</v>
      </c>
      <c r="I13" s="9" t="s">
        <v>267</v>
      </c>
      <c r="J13" s="9" t="s">
        <v>280</v>
      </c>
      <c r="K13" s="9" t="s">
        <v>819</v>
      </c>
    </row>
    <row r="14" spans="1:11" ht="173.4">
      <c r="A14" s="36"/>
      <c r="B14" s="79" t="s">
        <v>223</v>
      </c>
      <c r="C14" s="79" t="s">
        <v>224</v>
      </c>
      <c r="D14" s="79" t="s">
        <v>54</v>
      </c>
      <c r="E14" s="79" t="str">
        <f t="shared" si="0"/>
        <v>Claims documentsGeneral</v>
      </c>
      <c r="F14" s="79" t="s">
        <v>240</v>
      </c>
      <c r="G14" s="110" t="s">
        <v>475</v>
      </c>
      <c r="H14" s="9" t="s">
        <v>91</v>
      </c>
      <c r="I14" s="9" t="s">
        <v>267</v>
      </c>
      <c r="J14" s="9" t="s">
        <v>280</v>
      </c>
      <c r="K14" s="9" t="s">
        <v>274</v>
      </c>
    </row>
    <row r="15" spans="1:11" ht="173.4">
      <c r="A15" s="36"/>
      <c r="B15" s="79" t="s">
        <v>223</v>
      </c>
      <c r="C15" s="79" t="s">
        <v>225</v>
      </c>
      <c r="D15" s="79" t="s">
        <v>54</v>
      </c>
      <c r="E15" s="79" t="str">
        <f t="shared" si="0"/>
        <v>Claims notesGeneral</v>
      </c>
      <c r="F15" s="79" t="s">
        <v>391</v>
      </c>
      <c r="G15" s="110" t="s">
        <v>476</v>
      </c>
      <c r="H15" s="9" t="s">
        <v>91</v>
      </c>
      <c r="I15" s="9" t="s">
        <v>289</v>
      </c>
      <c r="J15" s="9" t="s">
        <v>280</v>
      </c>
      <c r="K15" s="9" t="s">
        <v>274</v>
      </c>
    </row>
    <row r="16" spans="1:11" ht="195.75" customHeight="1">
      <c r="A16" s="36"/>
      <c r="B16" s="80" t="s">
        <v>28</v>
      </c>
      <c r="C16" s="79" t="s">
        <v>55</v>
      </c>
      <c r="D16" s="79" t="s">
        <v>54</v>
      </c>
      <c r="E16" s="79" t="str">
        <f t="shared" si="0"/>
        <v>Vendor InformationGeneral</v>
      </c>
      <c r="F16" s="79" t="s">
        <v>392</v>
      </c>
      <c r="G16" s="110" t="s">
        <v>477</v>
      </c>
      <c r="H16" s="9" t="s">
        <v>91</v>
      </c>
      <c r="I16" s="9" t="s">
        <v>273</v>
      </c>
      <c r="J16" s="9" t="s">
        <v>280</v>
      </c>
      <c r="K16" s="9" t="s">
        <v>274</v>
      </c>
    </row>
    <row r="17" spans="1:11" ht="110.25" customHeight="1">
      <c r="A17" s="36"/>
      <c r="B17" s="80" t="s">
        <v>28</v>
      </c>
      <c r="C17" s="79" t="s">
        <v>55</v>
      </c>
      <c r="D17" s="79" t="s">
        <v>54</v>
      </c>
      <c r="E17" s="79" t="str">
        <f t="shared" si="0"/>
        <v>Vendor InformationGeneral</v>
      </c>
      <c r="F17" s="79" t="s">
        <v>393</v>
      </c>
      <c r="G17" s="110" t="s">
        <v>478</v>
      </c>
      <c r="H17" s="9" t="s">
        <v>91</v>
      </c>
      <c r="I17" s="9" t="s">
        <v>273</v>
      </c>
      <c r="J17" s="9" t="s">
        <v>280</v>
      </c>
      <c r="K17" s="9" t="s">
        <v>274</v>
      </c>
    </row>
    <row r="18" spans="1:11" ht="220.5" customHeight="1">
      <c r="A18" s="36"/>
      <c r="B18" s="79" t="s">
        <v>37</v>
      </c>
      <c r="C18" s="79" t="s">
        <v>226</v>
      </c>
      <c r="D18" s="79" t="s">
        <v>54</v>
      </c>
      <c r="E18" s="79" t="str">
        <f t="shared" si="0"/>
        <v>Trigger ICFGeneral</v>
      </c>
      <c r="F18" s="79" t="s">
        <v>241</v>
      </c>
      <c r="G18" s="110" t="s">
        <v>479</v>
      </c>
      <c r="H18" s="9" t="s">
        <v>91</v>
      </c>
      <c r="I18" s="9" t="s">
        <v>273</v>
      </c>
      <c r="J18" s="9" t="s">
        <v>280</v>
      </c>
      <c r="K18" s="9" t="s">
        <v>274</v>
      </c>
    </row>
    <row r="19" spans="1:11" ht="219" customHeight="1">
      <c r="A19" s="36"/>
      <c r="B19" s="79" t="s">
        <v>26</v>
      </c>
      <c r="C19" s="79" t="s">
        <v>24</v>
      </c>
      <c r="D19" s="79" t="s">
        <v>54</v>
      </c>
      <c r="E19" s="79" t="str">
        <f t="shared" si="0"/>
        <v>Customer ComplaintGeneral</v>
      </c>
      <c r="F19" s="79" t="s">
        <v>242</v>
      </c>
      <c r="G19" s="110" t="s">
        <v>480</v>
      </c>
      <c r="H19" s="9" t="s">
        <v>91</v>
      </c>
      <c r="I19" s="9" t="s">
        <v>273</v>
      </c>
      <c r="J19" s="9" t="s">
        <v>280</v>
      </c>
      <c r="K19" s="9" t="s">
        <v>274</v>
      </c>
    </row>
    <row r="20" spans="1:11" ht="102">
      <c r="A20" s="36"/>
      <c r="B20" s="79" t="s">
        <v>39</v>
      </c>
      <c r="C20" s="79" t="s">
        <v>59</v>
      </c>
      <c r="D20" s="79" t="s">
        <v>54</v>
      </c>
      <c r="E20" s="79" t="str">
        <f t="shared" si="0"/>
        <v>Trigger ActivityGeneral</v>
      </c>
      <c r="F20" s="79" t="s">
        <v>243</v>
      </c>
      <c r="G20" s="110" t="s">
        <v>481</v>
      </c>
      <c r="H20" s="9" t="s">
        <v>126</v>
      </c>
      <c r="I20" s="9" t="s">
        <v>273</v>
      </c>
      <c r="J20" s="9" t="s">
        <v>280</v>
      </c>
      <c r="K20" s="9" t="s">
        <v>274</v>
      </c>
    </row>
    <row r="21" spans="1:11" ht="132.6">
      <c r="A21" s="36"/>
      <c r="B21" s="79" t="s">
        <v>39</v>
      </c>
      <c r="C21" s="79" t="s">
        <v>30</v>
      </c>
      <c r="D21" s="79" t="s">
        <v>54</v>
      </c>
      <c r="E21" s="79" t="str">
        <f t="shared" si="0"/>
        <v>ReservingGeneral</v>
      </c>
      <c r="F21" s="79" t="s">
        <v>394</v>
      </c>
      <c r="G21" s="110" t="s">
        <v>497</v>
      </c>
      <c r="H21" s="9" t="s">
        <v>126</v>
      </c>
      <c r="I21" s="9" t="s">
        <v>273</v>
      </c>
      <c r="J21" s="9" t="s">
        <v>280</v>
      </c>
      <c r="K21" s="9" t="s">
        <v>274</v>
      </c>
    </row>
    <row r="22" spans="1:11" ht="343.5" customHeight="1">
      <c r="A22" s="36"/>
      <c r="B22" s="79" t="s">
        <v>39</v>
      </c>
      <c r="C22" s="79" t="s">
        <v>227</v>
      </c>
      <c r="D22" s="79" t="s">
        <v>54</v>
      </c>
      <c r="E22" s="79" t="str">
        <f t="shared" ref="E22:E29" si="1">CONCATENATE(C22,D22)</f>
        <v>Straight Through ProcessingGeneral</v>
      </c>
      <c r="F22" s="79" t="s">
        <v>395</v>
      </c>
      <c r="G22" s="110" t="s">
        <v>482</v>
      </c>
      <c r="H22" s="9" t="s">
        <v>214</v>
      </c>
      <c r="I22" s="9" t="s">
        <v>273</v>
      </c>
      <c r="J22" s="9" t="s">
        <v>280</v>
      </c>
      <c r="K22" s="9" t="s">
        <v>274</v>
      </c>
    </row>
    <row r="23" spans="1:11" ht="122.4">
      <c r="A23" s="36"/>
      <c r="B23" s="79" t="s">
        <v>39</v>
      </c>
      <c r="C23" s="79" t="s">
        <v>347</v>
      </c>
      <c r="D23" s="79" t="s">
        <v>54</v>
      </c>
      <c r="E23" s="79" t="str">
        <f t="shared" si="1"/>
        <v>Inactive claims ManagementGeneral</v>
      </c>
      <c r="F23" s="79" t="s">
        <v>244</v>
      </c>
      <c r="G23" s="110" t="s">
        <v>483</v>
      </c>
      <c r="H23" s="9" t="s">
        <v>91</v>
      </c>
      <c r="I23" s="9" t="s">
        <v>273</v>
      </c>
      <c r="J23" s="9" t="s">
        <v>280</v>
      </c>
      <c r="K23" s="9" t="s">
        <v>274</v>
      </c>
    </row>
    <row r="24" spans="1:11" ht="285.60000000000002">
      <c r="A24" s="36"/>
      <c r="B24" s="79" t="s">
        <v>39</v>
      </c>
      <c r="C24" s="79" t="s">
        <v>27</v>
      </c>
      <c r="D24" s="79" t="s">
        <v>54</v>
      </c>
      <c r="E24" s="79" t="str">
        <f t="shared" si="1"/>
        <v>Claims StatusGeneral</v>
      </c>
      <c r="F24" s="79" t="s">
        <v>245</v>
      </c>
      <c r="G24" s="110" t="s">
        <v>484</v>
      </c>
      <c r="H24" s="9" t="s">
        <v>126</v>
      </c>
      <c r="I24" s="9" t="s">
        <v>273</v>
      </c>
      <c r="J24" s="9" t="s">
        <v>280</v>
      </c>
      <c r="K24" s="9" t="s">
        <v>290</v>
      </c>
    </row>
    <row r="25" spans="1:11" ht="204">
      <c r="A25" s="36"/>
      <c r="B25" s="79" t="s">
        <v>42</v>
      </c>
      <c r="C25" s="79" t="s">
        <v>228</v>
      </c>
      <c r="D25" s="79" t="s">
        <v>54</v>
      </c>
      <c r="E25" s="79" t="str">
        <f t="shared" si="1"/>
        <v>Claims metricsGeneral</v>
      </c>
      <c r="F25" s="79" t="s">
        <v>396</v>
      </c>
      <c r="G25" s="110" t="s">
        <v>485</v>
      </c>
      <c r="H25" s="9" t="s">
        <v>126</v>
      </c>
      <c r="I25" s="9" t="s">
        <v>273</v>
      </c>
      <c r="J25" s="9" t="s">
        <v>291</v>
      </c>
      <c r="K25" s="9" t="s">
        <v>274</v>
      </c>
    </row>
    <row r="26" spans="1:11" ht="214.2">
      <c r="A26" s="36"/>
      <c r="B26" s="79" t="s">
        <v>42</v>
      </c>
      <c r="C26" s="79" t="s">
        <v>229</v>
      </c>
      <c r="D26" s="79" t="s">
        <v>54</v>
      </c>
      <c r="E26" s="79" t="str">
        <f t="shared" si="1"/>
        <v>Workload monitoringGeneral</v>
      </c>
      <c r="F26" s="79" t="s">
        <v>246</v>
      </c>
      <c r="G26" s="110" t="s">
        <v>486</v>
      </c>
      <c r="H26" s="9" t="s">
        <v>91</v>
      </c>
      <c r="I26" s="9" t="s">
        <v>267</v>
      </c>
      <c r="J26" s="9" t="s">
        <v>292</v>
      </c>
      <c r="K26" s="9" t="s">
        <v>274</v>
      </c>
    </row>
    <row r="27" spans="1:11" ht="163.19999999999999">
      <c r="A27" s="36"/>
      <c r="B27" s="79" t="s">
        <v>43</v>
      </c>
      <c r="C27" s="79" t="s">
        <v>250</v>
      </c>
      <c r="D27" s="79" t="s">
        <v>54</v>
      </c>
      <c r="E27" s="79" t="str">
        <f t="shared" si="1"/>
        <v>Claims Sampling for  File ReviewGeneral</v>
      </c>
      <c r="F27" s="79" t="s">
        <v>397</v>
      </c>
      <c r="G27" s="110" t="s">
        <v>487</v>
      </c>
      <c r="H27" s="9" t="s">
        <v>256</v>
      </c>
      <c r="I27" s="9" t="s">
        <v>273</v>
      </c>
      <c r="J27" s="9" t="s">
        <v>291</v>
      </c>
      <c r="K27" s="9" t="s">
        <v>274</v>
      </c>
    </row>
    <row r="28" spans="1:11" ht="163.19999999999999">
      <c r="A28" s="36"/>
      <c r="B28" s="79" t="s">
        <v>43</v>
      </c>
      <c r="C28" s="79" t="s">
        <v>230</v>
      </c>
      <c r="D28" s="79" t="s">
        <v>54</v>
      </c>
      <c r="E28" s="79" t="str">
        <f t="shared" si="1"/>
        <v>Audit trailGeneral</v>
      </c>
      <c r="F28" s="79" t="s">
        <v>247</v>
      </c>
      <c r="G28" s="110" t="s">
        <v>488</v>
      </c>
      <c r="H28" s="9" t="s">
        <v>126</v>
      </c>
      <c r="I28" s="9" t="s">
        <v>273</v>
      </c>
      <c r="J28" s="9" t="s">
        <v>280</v>
      </c>
      <c r="K28" s="9" t="s">
        <v>274</v>
      </c>
    </row>
    <row r="29" spans="1:11" ht="136.5" customHeight="1">
      <c r="A29" s="36"/>
      <c r="B29" s="79" t="s">
        <v>43</v>
      </c>
      <c r="C29" s="79" t="s">
        <v>230</v>
      </c>
      <c r="D29" s="79" t="s">
        <v>54</v>
      </c>
      <c r="E29" s="79" t="str">
        <f t="shared" si="1"/>
        <v>Audit trailGeneral</v>
      </c>
      <c r="F29" s="79" t="s">
        <v>398</v>
      </c>
      <c r="G29" s="110" t="s">
        <v>489</v>
      </c>
      <c r="H29" s="9" t="s">
        <v>126</v>
      </c>
      <c r="I29" s="9" t="s">
        <v>273</v>
      </c>
      <c r="J29" s="9" t="s">
        <v>291</v>
      </c>
      <c r="K29" s="9" t="s">
        <v>274</v>
      </c>
    </row>
    <row r="30" spans="1:11" s="5" customFormat="1" ht="297" customHeight="1">
      <c r="A30" s="36"/>
      <c r="B30" s="79" t="s">
        <v>39</v>
      </c>
      <c r="C30" s="79" t="s">
        <v>27</v>
      </c>
      <c r="D30" s="79" t="s">
        <v>54</v>
      </c>
      <c r="E30" s="79" t="str">
        <f t="shared" ref="E30:E41" si="2">CONCATENATE(C30,D30)</f>
        <v>Claims StatusGeneral</v>
      </c>
      <c r="F30" s="79" t="s">
        <v>399</v>
      </c>
      <c r="G30" s="110" t="s">
        <v>548</v>
      </c>
      <c r="H30" s="9" t="s">
        <v>256</v>
      </c>
      <c r="I30" s="9" t="s">
        <v>273</v>
      </c>
      <c r="J30" s="9" t="s">
        <v>490</v>
      </c>
      <c r="K30" s="9" t="s">
        <v>536</v>
      </c>
    </row>
    <row r="31" spans="1:11" s="5" customFormat="1" ht="186" customHeight="1">
      <c r="A31" s="36"/>
      <c r="B31" s="79" t="s">
        <v>39</v>
      </c>
      <c r="C31" s="79" t="s">
        <v>27</v>
      </c>
      <c r="D31" s="79" t="s">
        <v>54</v>
      </c>
      <c r="E31" s="79" t="str">
        <f t="shared" si="2"/>
        <v>Claims StatusGeneral</v>
      </c>
      <c r="F31" s="79" t="s">
        <v>400</v>
      </c>
      <c r="G31" s="110" t="s">
        <v>535</v>
      </c>
      <c r="H31" s="9"/>
      <c r="I31" s="9"/>
      <c r="J31" s="9"/>
      <c r="K31" s="9" t="s">
        <v>15</v>
      </c>
    </row>
    <row r="32" spans="1:11" s="5" customFormat="1" ht="183.6">
      <c r="A32" s="36"/>
      <c r="B32" s="79" t="s">
        <v>39</v>
      </c>
      <c r="C32" s="79" t="s">
        <v>347</v>
      </c>
      <c r="D32" s="79" t="s">
        <v>54</v>
      </c>
      <c r="E32" s="79" t="str">
        <f t="shared" si="2"/>
        <v>Inactive claims ManagementGeneral</v>
      </c>
      <c r="F32" s="79" t="s">
        <v>248</v>
      </c>
      <c r="G32" s="110" t="s">
        <v>611</v>
      </c>
      <c r="H32" s="9"/>
      <c r="I32" s="9"/>
      <c r="J32" s="9"/>
      <c r="K32" s="9" t="s">
        <v>260</v>
      </c>
    </row>
    <row r="33" spans="1:11" ht="122.4">
      <c r="B33" s="79" t="s">
        <v>42</v>
      </c>
      <c r="C33" s="79" t="s">
        <v>346</v>
      </c>
      <c r="D33" s="79" t="s">
        <v>54</v>
      </c>
      <c r="E33" s="79" t="str">
        <f t="shared" si="2"/>
        <v>ReportingGeneral</v>
      </c>
      <c r="F33" s="79" t="s">
        <v>249</v>
      </c>
      <c r="G33" s="110" t="s">
        <v>491</v>
      </c>
      <c r="H33" s="9" t="s">
        <v>126</v>
      </c>
      <c r="I33" s="9" t="s">
        <v>255</v>
      </c>
      <c r="J33" s="9" t="s">
        <v>280</v>
      </c>
      <c r="K33" s="9" t="s">
        <v>274</v>
      </c>
    </row>
    <row r="34" spans="1:11" ht="96.75" customHeight="1">
      <c r="A34" s="36"/>
      <c r="B34" s="79" t="s">
        <v>42</v>
      </c>
      <c r="C34" s="79" t="s">
        <v>346</v>
      </c>
      <c r="D34" s="79" t="s">
        <v>54</v>
      </c>
      <c r="E34" s="79" t="str">
        <f t="shared" si="2"/>
        <v>ReportingGeneral</v>
      </c>
      <c r="F34" s="79" t="s">
        <v>401</v>
      </c>
      <c r="G34" s="110" t="s">
        <v>492</v>
      </c>
      <c r="H34" s="9" t="s">
        <v>126</v>
      </c>
      <c r="I34" s="9" t="s">
        <v>273</v>
      </c>
      <c r="J34" s="9" t="s">
        <v>291</v>
      </c>
      <c r="K34" s="9" t="s">
        <v>402</v>
      </c>
    </row>
    <row r="35" spans="1:11" ht="81.599999999999994">
      <c r="A35" s="36"/>
      <c r="B35" s="79" t="s">
        <v>42</v>
      </c>
      <c r="C35" s="79" t="s">
        <v>346</v>
      </c>
      <c r="D35" s="79" t="s">
        <v>54</v>
      </c>
      <c r="E35" s="79" t="str">
        <f t="shared" si="2"/>
        <v>ReportingGeneral</v>
      </c>
      <c r="F35" s="79" t="s">
        <v>403</v>
      </c>
      <c r="G35" s="110" t="s">
        <v>493</v>
      </c>
      <c r="H35" s="9" t="s">
        <v>126</v>
      </c>
      <c r="I35" s="9" t="s">
        <v>273</v>
      </c>
      <c r="J35" s="9" t="s">
        <v>291</v>
      </c>
      <c r="K35" s="9" t="s">
        <v>274</v>
      </c>
    </row>
    <row r="36" spans="1:11" ht="122.4">
      <c r="A36" s="36"/>
      <c r="B36" s="79" t="s">
        <v>39</v>
      </c>
      <c r="C36" s="79" t="s">
        <v>405</v>
      </c>
      <c r="D36" s="79" t="s">
        <v>54</v>
      </c>
      <c r="E36" s="79" t="str">
        <f t="shared" si="2"/>
        <v>Validation/ reason codesGeneral</v>
      </c>
      <c r="F36" s="79" t="s">
        <v>404</v>
      </c>
      <c r="G36" s="110" t="s">
        <v>494</v>
      </c>
      <c r="H36" s="9" t="s">
        <v>126</v>
      </c>
      <c r="I36" s="9" t="s">
        <v>273</v>
      </c>
      <c r="J36" s="9" t="s">
        <v>291</v>
      </c>
      <c r="K36" s="9" t="s">
        <v>274</v>
      </c>
    </row>
    <row r="37" spans="1:11" ht="122.4">
      <c r="A37" s="36"/>
      <c r="B37" s="79" t="s">
        <v>223</v>
      </c>
      <c r="C37" s="79" t="s">
        <v>224</v>
      </c>
      <c r="D37" s="79" t="s">
        <v>54</v>
      </c>
      <c r="E37" s="79" t="str">
        <f t="shared" si="2"/>
        <v>Claims documentsGeneral</v>
      </c>
      <c r="F37" s="79" t="s">
        <v>429</v>
      </c>
      <c r="G37" s="110" t="s">
        <v>495</v>
      </c>
      <c r="H37" s="9" t="s">
        <v>91</v>
      </c>
      <c r="I37" s="9" t="s">
        <v>267</v>
      </c>
      <c r="J37" s="9" t="s">
        <v>280</v>
      </c>
      <c r="K37" s="9" t="s">
        <v>274</v>
      </c>
    </row>
    <row r="38" spans="1:11" ht="132.6">
      <c r="A38" s="36"/>
      <c r="B38" s="79" t="s">
        <v>25</v>
      </c>
      <c r="C38" s="79" t="s">
        <v>513</v>
      </c>
      <c r="D38" s="79" t="s">
        <v>54</v>
      </c>
      <c r="E38" s="79" t="str">
        <f t="shared" si="2"/>
        <v>Policy SetupGeneral</v>
      </c>
      <c r="F38" s="79" t="s">
        <v>512</v>
      </c>
      <c r="G38" s="110" t="s">
        <v>629</v>
      </c>
      <c r="H38" s="9" t="s">
        <v>126</v>
      </c>
      <c r="I38" s="9" t="s">
        <v>254</v>
      </c>
      <c r="J38" s="9" t="s">
        <v>17</v>
      </c>
      <c r="K38" s="9" t="s">
        <v>277</v>
      </c>
    </row>
    <row r="39" spans="1:11" ht="112.2">
      <c r="A39" s="36"/>
      <c r="B39" s="79" t="s">
        <v>25</v>
      </c>
      <c r="C39" s="79" t="s">
        <v>543</v>
      </c>
      <c r="D39" s="79" t="s">
        <v>54</v>
      </c>
      <c r="E39" s="79" t="str">
        <f t="shared" si="2"/>
        <v>LanguageGeneral</v>
      </c>
      <c r="F39" s="79" t="s">
        <v>530</v>
      </c>
      <c r="G39" s="110" t="s">
        <v>531</v>
      </c>
      <c r="H39" s="9" t="s">
        <v>256</v>
      </c>
      <c r="I39" s="9" t="s">
        <v>254</v>
      </c>
      <c r="J39" s="9" t="s">
        <v>17</v>
      </c>
      <c r="K39" s="9" t="s">
        <v>277</v>
      </c>
    </row>
    <row r="40" spans="1:11" s="5" customFormat="1" ht="120.75" customHeight="1">
      <c r="A40" s="36"/>
      <c r="B40" s="79" t="s">
        <v>39</v>
      </c>
      <c r="C40" s="79" t="s">
        <v>347</v>
      </c>
      <c r="D40" s="79" t="s">
        <v>54</v>
      </c>
      <c r="E40" s="79" t="str">
        <f t="shared" si="2"/>
        <v>Inactive claims ManagementGeneral</v>
      </c>
      <c r="F40" s="79" t="s">
        <v>612</v>
      </c>
      <c r="G40" s="110" t="s">
        <v>613</v>
      </c>
      <c r="H40" s="9"/>
      <c r="I40" s="9"/>
      <c r="J40" s="9"/>
      <c r="K40" s="9" t="s">
        <v>260</v>
      </c>
    </row>
    <row r="41" spans="1:11" s="5" customFormat="1" ht="138" customHeight="1">
      <c r="A41" s="36"/>
      <c r="B41" s="80" t="s">
        <v>28</v>
      </c>
      <c r="C41" s="79" t="s">
        <v>55</v>
      </c>
      <c r="D41" s="79" t="s">
        <v>54</v>
      </c>
      <c r="E41" s="79" t="str">
        <f t="shared" si="2"/>
        <v>Vendor InformationGeneral</v>
      </c>
      <c r="F41" s="79" t="s">
        <v>392</v>
      </c>
      <c r="G41" s="110" t="s">
        <v>617</v>
      </c>
      <c r="H41" s="9" t="s">
        <v>91</v>
      </c>
      <c r="I41" s="9" t="s">
        <v>273</v>
      </c>
      <c r="J41" s="9" t="s">
        <v>280</v>
      </c>
      <c r="K41" s="9" t="s">
        <v>274</v>
      </c>
    </row>
    <row r="42" spans="1:11" ht="44.4" customHeight="1">
      <c r="B42" s="125"/>
      <c r="C42" s="125"/>
      <c r="D42" s="125"/>
      <c r="E42" s="125"/>
      <c r="F42" s="125"/>
      <c r="G42" s="127" t="s">
        <v>649</v>
      </c>
      <c r="H42" s="125"/>
      <c r="I42" s="125"/>
      <c r="J42" s="125"/>
      <c r="K42" s="125"/>
    </row>
  </sheetData>
  <mergeCells count="10">
    <mergeCell ref="A1:A3"/>
    <mergeCell ref="H2:H3"/>
    <mergeCell ref="I2:I3"/>
    <mergeCell ref="J2:J3"/>
    <mergeCell ref="K2:K3"/>
    <mergeCell ref="B2:B3"/>
    <mergeCell ref="C2:C3"/>
    <mergeCell ref="D2:D3"/>
    <mergeCell ref="F2:F3"/>
    <mergeCell ref="G2:G3"/>
  </mergeCells>
  <hyperlinks>
    <hyperlink ref="A1:A3" location="'A. Claims Story Map'!A1" display="Back"/>
  </hyperlinks>
  <pageMargins left="0.7" right="0.7" top="0.75" bottom="0.75" header="0.3" footer="0.3"/>
  <pageSetup paperSize="9"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V2"/>
  <sheetViews>
    <sheetView workbookViewId="0">
      <selection activeCell="G22" sqref="G22"/>
    </sheetView>
  </sheetViews>
  <sheetFormatPr defaultRowHeight="14.4"/>
  <cols>
    <col min="1" max="1" width="3.109375" bestFit="1" customWidth="1"/>
    <col min="2" max="2" width="10.5546875" customWidth="1"/>
    <col min="3" max="3" width="11.33203125" customWidth="1"/>
    <col min="4" max="4" width="12" customWidth="1"/>
    <col min="5" max="5" width="0" hidden="1" customWidth="1"/>
    <col min="6" max="6" width="13.6640625" customWidth="1"/>
    <col min="7" max="7" width="62.5546875" customWidth="1"/>
    <col min="8" max="9" width="14.5546875" customWidth="1"/>
    <col min="10" max="10" width="15.109375" customWidth="1"/>
    <col min="11" max="11" width="17.88671875" customWidth="1"/>
    <col min="12" max="12" width="18.109375" customWidth="1"/>
    <col min="13" max="13" width="24.33203125" customWidth="1"/>
    <col min="14" max="14" width="44.88671875" customWidth="1"/>
    <col min="15" max="15" width="24.33203125" customWidth="1"/>
    <col min="16" max="16" width="44.88671875" customWidth="1"/>
    <col min="17" max="17" width="24.33203125" customWidth="1"/>
    <col min="18" max="18" width="44.88671875" customWidth="1"/>
    <col min="19" max="19" width="24.33203125" customWidth="1"/>
    <col min="20" max="20" width="44.88671875" customWidth="1"/>
    <col min="21" max="21" width="24.33203125" customWidth="1"/>
    <col min="22" max="22" width="44.88671875" customWidth="1"/>
  </cols>
  <sheetData>
    <row r="1" spans="1:22" s="5" customFormat="1" ht="17.25" customHeight="1">
      <c r="A1" s="157"/>
      <c r="B1" s="159" t="s">
        <v>0</v>
      </c>
      <c r="C1" s="159" t="s">
        <v>1</v>
      </c>
      <c r="D1" s="159" t="s">
        <v>23</v>
      </c>
      <c r="E1" s="132"/>
      <c r="F1" s="131"/>
      <c r="G1" s="161" t="s">
        <v>10</v>
      </c>
      <c r="H1" s="159" t="s">
        <v>150</v>
      </c>
      <c r="I1" s="159" t="s">
        <v>149</v>
      </c>
      <c r="J1" s="159" t="s">
        <v>8</v>
      </c>
      <c r="K1" s="49" t="s">
        <v>84</v>
      </c>
      <c r="L1" s="165" t="s">
        <v>301</v>
      </c>
      <c r="M1" s="167" t="s">
        <v>634</v>
      </c>
      <c r="N1" s="167" t="s">
        <v>639</v>
      </c>
      <c r="O1" s="167" t="s">
        <v>635</v>
      </c>
      <c r="P1" s="167" t="s">
        <v>640</v>
      </c>
      <c r="Q1" s="167" t="s">
        <v>636</v>
      </c>
      <c r="R1" s="167" t="s">
        <v>641</v>
      </c>
      <c r="S1" s="167" t="s">
        <v>637</v>
      </c>
      <c r="T1" s="167" t="s">
        <v>642</v>
      </c>
      <c r="U1" s="167" t="s">
        <v>638</v>
      </c>
      <c r="V1" s="167" t="s">
        <v>643</v>
      </c>
    </row>
    <row r="2" spans="1:22" s="5" customFormat="1" ht="23.25" customHeight="1">
      <c r="A2" s="158"/>
      <c r="B2" s="160"/>
      <c r="C2" s="160"/>
      <c r="D2" s="160"/>
      <c r="E2" s="133"/>
      <c r="F2" s="134" t="s">
        <v>9</v>
      </c>
      <c r="G2" s="162"/>
      <c r="H2" s="160"/>
      <c r="I2" s="160"/>
      <c r="J2" s="160"/>
      <c r="K2" s="48" t="s">
        <v>11</v>
      </c>
      <c r="L2" s="165"/>
      <c r="M2" s="168"/>
      <c r="N2" s="168"/>
      <c r="O2" s="168"/>
      <c r="P2" s="168"/>
      <c r="Q2" s="168"/>
      <c r="R2" s="168"/>
      <c r="S2" s="168"/>
      <c r="T2" s="168"/>
      <c r="U2" s="168"/>
      <c r="V2" s="168"/>
    </row>
  </sheetData>
  <mergeCells count="19">
    <mergeCell ref="O1:O2"/>
    <mergeCell ref="A1:A2"/>
    <mergeCell ref="B1:B2"/>
    <mergeCell ref="C1:C2"/>
    <mergeCell ref="D1:D2"/>
    <mergeCell ref="G1:G2"/>
    <mergeCell ref="H1:H2"/>
    <mergeCell ref="I1:I2"/>
    <mergeCell ref="J1:J2"/>
    <mergeCell ref="L1:L2"/>
    <mergeCell ref="M1:M2"/>
    <mergeCell ref="N1:N2"/>
    <mergeCell ref="V1:V2"/>
    <mergeCell ref="P1:P2"/>
    <mergeCell ref="Q1:Q2"/>
    <mergeCell ref="R1:R2"/>
    <mergeCell ref="S1:S2"/>
    <mergeCell ref="T1:T2"/>
    <mergeCell ref="U1:U2"/>
  </mergeCells>
  <hyperlinks>
    <hyperlink ref="A1:A2" location="'A. Claims Story Map'!A1" display="Back"/>
  </hyperlink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26</vt:i4>
      </vt:variant>
    </vt:vector>
  </HeadingPairs>
  <TitlesOfParts>
    <vt:vector size="38" baseType="lpstr">
      <vt:lpstr>Glossary</vt:lpstr>
      <vt:lpstr>A. Claims Story Map</vt:lpstr>
      <vt:lpstr>Summary</vt:lpstr>
      <vt:lpstr>A1. HLBR - Provider Mgmt</vt:lpstr>
      <vt:lpstr>B1. HLBR - Claims Submission</vt:lpstr>
      <vt:lpstr>B2. HLBR - Registration</vt:lpstr>
      <vt:lpstr>B3. HLBR - Assessment</vt:lpstr>
      <vt:lpstr>B4. HLBR - Settlement</vt:lpstr>
      <vt:lpstr>B5. HLBR - Fraud</vt:lpstr>
      <vt:lpstr>B6. HLBR - Recovery</vt:lpstr>
      <vt:lpstr>B7. HLBR - General</vt:lpstr>
      <vt:lpstr>Summary BackUp</vt:lpstr>
      <vt:lpstr>'B2. HLBR - Registration'!Claims_Assignment</vt:lpstr>
      <vt:lpstr>'A1. HLBR - Provider Mgmt'!Claims_Data_Capture</vt:lpstr>
      <vt:lpstr>'B1. HLBR - Claims Submission'!Claims_Data_Capture</vt:lpstr>
      <vt:lpstr>'B2. HLBR - Registration'!Claims_Registration</vt:lpstr>
      <vt:lpstr>Claims_Registration___4</vt:lpstr>
      <vt:lpstr>'B2. HLBR - Registration'!Claims_segmentation</vt:lpstr>
      <vt:lpstr>'B2. HLBR - Registration'!Coinsurance_reinsurance_notification</vt:lpstr>
      <vt:lpstr>'B2. HLBR - Registration'!Fraud_detection</vt:lpstr>
      <vt:lpstr>'B5. HLBR - Fraud'!Fraud_Investigation</vt:lpstr>
      <vt:lpstr>'A1. HLBR - Provider Mgmt'!Initial_Notification</vt:lpstr>
      <vt:lpstr>'B1. HLBR - Claims Submission'!Initial_Notification</vt:lpstr>
      <vt:lpstr>'B2. HLBR - Registration'!Initial_reserves_calculations</vt:lpstr>
      <vt:lpstr>'A1. HLBR - Provider Mgmt'!Motor_Claims_Data_Capture</vt:lpstr>
      <vt:lpstr>'B1. HLBR - Claims Submission'!Motor_Claims_Data_Capture</vt:lpstr>
      <vt:lpstr>'A1. HLBR - Provider Mgmt'!Motor_Initial_Notification</vt:lpstr>
      <vt:lpstr>'B1. HLBR - Claims Submission'!Motor_Initial_Notification</vt:lpstr>
      <vt:lpstr>'A1. HLBR - Provider Mgmt'!Print_Titles</vt:lpstr>
      <vt:lpstr>'B1. HLBR - Claims Submission'!Print_Titles</vt:lpstr>
      <vt:lpstr>'B2. HLBR - Registration'!Print_Titles</vt:lpstr>
      <vt:lpstr>'B3. HLBR - Assessment'!Print_Titles</vt:lpstr>
      <vt:lpstr>'B4. HLBR - Settlement'!Print_Titles</vt:lpstr>
      <vt:lpstr>'B5. HLBR - Fraud'!Print_Titles</vt:lpstr>
      <vt:lpstr>'B6. HLBR - Recovery'!Print_Titles</vt:lpstr>
      <vt:lpstr>'B2. HLBR - Registration'!Recovery_Identification</vt:lpstr>
      <vt:lpstr>'A1. HLBR - Provider Mgmt'!Vendor_assignment</vt:lpstr>
      <vt:lpstr>'B1. HLBR - Claims Submission'!Vendor_assignment</vt:lpstr>
    </vt:vector>
  </TitlesOfParts>
  <Company>Deloitte Touche Tohmatsu Services,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Chi King Li</dc:creator>
  <cp:lastModifiedBy>Lee, Cherrie-PC</cp:lastModifiedBy>
  <cp:lastPrinted>2015-04-09T16:55:36Z</cp:lastPrinted>
  <dcterms:created xsi:type="dcterms:W3CDTF">2015-01-29T03:04:05Z</dcterms:created>
  <dcterms:modified xsi:type="dcterms:W3CDTF">2017-12-04T09:35:58Z</dcterms:modified>
</cp:coreProperties>
</file>